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tables/table1.xml" ContentType="application/vnd.openxmlformats-officedocument.spreadsheetml.table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1229dcf6f3445e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shboard" sheetId="1" r:id="R1fc5227033ba4d6e"/>
    <x:sheet xmlns:r="http://schemas.openxmlformats.org/officeDocument/2006/relationships" name="Banco_Ferramentas" sheetId="2" r:id="R3ef56a415dbd465d"/>
    <x:sheet xmlns:r="http://schemas.openxmlformats.org/officeDocument/2006/relationships" name="Mapa_Selecao" sheetId="3" r:id="R869f2288d41a43dc"/>
    <x:sheet xmlns:r="http://schemas.openxmlformats.org/officeDocument/2006/relationships" name="Indice" sheetId="4" r:id="R2de72618d9fd4844"/>
    <x:sheet xmlns:r="http://schemas.openxmlformats.org/officeDocument/2006/relationships" name="Relatorio_Consolidado" sheetId="5" r:id="R565728b83fb8406a"/>
    <x:sheet xmlns:r="http://schemas.openxmlformats.org/officeDocument/2006/relationships" name="G1_Relatorio" sheetId="6" r:id="R632e7da7ee9f45d1"/>
    <x:sheet xmlns:r="http://schemas.openxmlformats.org/officeDocument/2006/relationships" name="G2_Relatorio" sheetId="7" r:id="Rf96db2aa24624bd0"/>
    <x:sheet xmlns:r="http://schemas.openxmlformats.org/officeDocument/2006/relationships" name="G3_Relatorio" sheetId="8" r:id="Rca8bd82dc7db4e95"/>
    <x:sheet xmlns:r="http://schemas.openxmlformats.org/officeDocument/2006/relationships" name="G4_Relatorio" sheetId="9" r:id="R63585185c3d9418c"/>
    <x:sheet xmlns:r="http://schemas.openxmlformats.org/officeDocument/2006/relationships" name="G5_Relatorio" sheetId="10" r:id="Ra16abbcca2864010"/>
    <x:sheet xmlns:r="http://schemas.openxmlformats.org/officeDocument/2006/relationships" name="G1_DECL" sheetId="11" r:id="Rcd914579243948b2"/>
    <x:sheet xmlns:r="http://schemas.openxmlformats.org/officeDocument/2006/relationships" name="G1_5W2H" sheetId="12" r:id="Re9fdf25052674f41"/>
    <x:sheet xmlns:r="http://schemas.openxmlformats.org/officeDocument/2006/relationships" name="G1_STAKE" sheetId="13" r:id="R5f9b74bdece74be5"/>
    <x:sheet xmlns:r="http://schemas.openxmlformats.org/officeDocument/2006/relationships" name="G1_VOC" sheetId="14" r:id="R9caad195ff834aca"/>
    <x:sheet xmlns:r="http://schemas.openxmlformats.org/officeDocument/2006/relationships" name="G1_KOL" sheetId="15" r:id="R1a642e75380a4e68"/>
    <x:sheet xmlns:r="http://schemas.openxmlformats.org/officeDocument/2006/relationships" name="G1_CAMPO" sheetId="16" r:id="R3354a8f1e0c344c8"/>
    <x:sheet xmlns:r="http://schemas.openxmlformats.org/officeDocument/2006/relationships" name="G1_GAP" sheetId="17" r:id="R212a62751df04001"/>
    <x:sheet xmlns:r="http://schemas.openxmlformats.org/officeDocument/2006/relationships" name="G1_BENCH" sheetId="18" r:id="Rb488760a8e96475d"/>
    <x:sheet xmlns:r="http://schemas.openxmlformats.org/officeDocument/2006/relationships" name="G1_VALOR" sheetId="19" r:id="Re9677c86db6b4cc0"/>
    <x:sheet xmlns:r="http://schemas.openxmlformats.org/officeDocument/2006/relationships" name="G1_RVV" sheetId="20" r:id="R8551713657984b9c"/>
    <x:sheet xmlns:r="http://schemas.openxmlformats.org/officeDocument/2006/relationships" name="G1_INCERT" sheetId="21" r:id="Refa37aebdc9248a9"/>
    <x:sheet xmlns:r="http://schemas.openxmlformats.org/officeDocument/2006/relationships" name="G1_GONOGO" sheetId="22" r:id="Rabe71e1ac4ad4e6e"/>
    <x:sheet xmlns:r="http://schemas.openxmlformats.org/officeDocument/2006/relationships" name="G2_ROTA" sheetId="23" r:id="R86698545c183416f"/>
    <x:sheet xmlns:r="http://schemas.openxmlformats.org/officeDocument/2006/relationships" name="G2_NECESS" sheetId="24" r:id="R98848359b2d245ca"/>
    <x:sheet xmlns:r="http://schemas.openxmlformats.org/officeDocument/2006/relationships" name="G2_PRIOR" sheetId="25" r:id="R45ffedbf522c4180"/>
    <x:sheet xmlns:r="http://schemas.openxmlformats.org/officeDocument/2006/relationships" name="G2_USO" sheetId="26" r:id="R596e30b4e05048a7"/>
    <x:sheet xmlns:r="http://schemas.openxmlformats.org/officeDocument/2006/relationships" name="G2_USERAMB" sheetId="27" r:id="R3e96b2cc3f4b4754"/>
    <x:sheet xmlns:r="http://schemas.openxmlformats.org/officeDocument/2006/relationships" name="G2_QFD" sheetId="28" r:id="R39fec3ea89454c9a"/>
    <x:sheet xmlns:r="http://schemas.openxmlformats.org/officeDocument/2006/relationships" name="G2_CTQ" sheetId="29" r:id="Rccd53d8543e84916"/>
    <x:sheet xmlns:r="http://schemas.openxmlformats.org/officeDocument/2006/relationships" name="G2_OEM" sheetId="30" r:id="R114674ca721949aa"/>
    <x:sheet xmlns:r="http://schemas.openxmlformats.org/officeDocument/2006/relationships" name="G2_FORN" sheetId="31" r:id="Rfd6d12d56ce7452d"/>
    <x:sheet xmlns:r="http://schemas.openxmlformats.org/officeDocument/2006/relationships" name="G2_CUSTOM" sheetId="32" r:id="R35f16a1d67944959"/>
    <x:sheet xmlns:r="http://schemas.openxmlformats.org/officeDocument/2006/relationships" name="G2_SIMILAR" sheetId="33" r:id="Rebf501932b3d46d3"/>
    <x:sheet xmlns:r="http://schemas.openxmlformats.org/officeDocument/2006/relationships" name="G2_KIT" sheetId="34" r:id="R48ec3a5409214e3b"/>
    <x:sheet xmlns:r="http://schemas.openxmlformats.org/officeDocument/2006/relationships" name="G2_INTER" sheetId="35" r:id="Rb04f8c5a4e97440f"/>
    <x:sheet xmlns:r="http://schemas.openxmlformats.org/officeDocument/2006/relationships" name="G2_REG" sheetId="36" r:id="R592ba22f891e490c"/>
    <x:sheet xmlns:r="http://schemas.openxmlformats.org/officeDocument/2006/relationships" name="G2_CONTATO" sheetId="37" r:id="Rdc4887e05a23423d"/>
    <x:sheet xmlns:r="http://schemas.openxmlformats.org/officeDocument/2006/relationships" name="G2_ESTERIL" sheetId="38" r:id="R034bd0fe9010411f"/>
    <x:sheet xmlns:r="http://schemas.openxmlformats.org/officeDocument/2006/relationships" name="G2_USOCRIT" sheetId="39" r:id="R893c67c5e64d432a"/>
    <x:sheet xmlns:r="http://schemas.openxmlformats.org/officeDocument/2006/relationships" name="G2_PROD" sheetId="40" r:id="Rc19194d03d5f4c95"/>
    <x:sheet xmlns:r="http://schemas.openxmlformats.org/officeDocument/2006/relationships" name="G2_ECON" sheetId="41" r:id="R6b27db239bd3428b"/>
    <x:sheet xmlns:r="http://schemas.openxmlformats.org/officeDocument/2006/relationships" name="G2_BUSCAEXT" sheetId="42" r:id="R43e45b92c5574a68"/>
    <x:sheet xmlns:r="http://schemas.openxmlformats.org/officeDocument/2006/relationships" name="G2_INCERT" sheetId="43" r:id="R880e6cddce884cc4"/>
    <x:sheet xmlns:r="http://schemas.openxmlformats.org/officeDocument/2006/relationships" name="G2_APREND" sheetId="44" r:id="R6bb366a12be24496"/>
    <x:sheet xmlns:r="http://schemas.openxmlformats.org/officeDocument/2006/relationships" name="G2_GONOGO" sheetId="45" r:id="R389b62bc372a4d9e"/>
    <x:sheet xmlns:r="http://schemas.openxmlformats.org/officeDocument/2006/relationships" name="G3_BUSCAINT" sheetId="46" r:id="R1de96c1a088e40d7"/>
    <x:sheet xmlns:r="http://schemas.openxmlformats.org/officeDocument/2006/relationships" name="G3_BUSCAEXT" sheetId="47" r:id="R99efbf78f37e4778"/>
    <x:sheet xmlns:r="http://schemas.openxmlformats.org/officeDocument/2006/relationships" name="G3_MENTAL" sheetId="48" r:id="Rf4112f72cdf04b93"/>
    <x:sheet xmlns:r="http://schemas.openxmlformats.org/officeDocument/2006/relationships" name="G3_DECOMP" sheetId="49" r:id="R068085124ff941db"/>
    <x:sheet xmlns:r="http://schemas.openxmlformats.org/officeDocument/2006/relationships" name="G3_BRAIN" sheetId="50" r:id="R8797867172cd45cc"/>
    <x:sheet xmlns:r="http://schemas.openxmlformats.org/officeDocument/2006/relationships" name="G3_SCAMPER" sheetId="51" r:id="R770306b442d44cd2"/>
    <x:sheet xmlns:r="http://schemas.openxmlformats.org/officeDocument/2006/relationships" name="G3_TRIZ" sheetId="52" r:id="Rcbe2e62c35a64cc6"/>
    <x:sheet xmlns:r="http://schemas.openxmlformats.org/officeDocument/2006/relationships" name="G3_MORFO" sheetId="53" r:id="R2409aa8decc8453b"/>
    <x:sheet xmlns:r="http://schemas.openxmlformats.org/officeDocument/2006/relationships" name="G3_ARVORE" sheetId="54" r:id="R1997fa0824d24b75"/>
    <x:sheet xmlns:r="http://schemas.openxmlformats.org/officeDocument/2006/relationships" name="G3_COMBO" sheetId="55" r:id="R2baf5ede75e84628"/>
    <x:sheet xmlns:r="http://schemas.openxmlformats.org/officeDocument/2006/relationships" name="G3_SKETCH" sheetId="56" r:id="R0b1d10a7b8b84a91"/>
    <x:sheet xmlns:r="http://schemas.openxmlformats.org/officeDocument/2006/relationships" name="G3_STORY" sheetId="57" r:id="R7209eaf8755041f3"/>
    <x:sheet xmlns:r="http://schemas.openxmlformats.org/officeDocument/2006/relationships" name="G3_PROTO" sheetId="58" r:id="R770f5e8f6ab24c2f"/>
    <x:sheet xmlns:r="http://schemas.openxmlformats.org/officeDocument/2006/relationships" name="G3_PROVA" sheetId="59" r:id="R4d5c51079af04e3e"/>
    <x:sheet xmlns:r="http://schemas.openxmlformats.org/officeDocument/2006/relationships" name="G3_GONOGO" sheetId="60" r:id="R02a1c0efe67b4edd"/>
    <x:sheet xmlns:r="http://schemas.openxmlformats.org/officeDocument/2006/relationships" name="G4_CRIT" sheetId="61" r:id="R6dd4a61894fd4fba"/>
    <x:sheet xmlns:r="http://schemas.openxmlformats.org/officeDocument/2006/relationships" name="G4_REF" sheetId="62" r:id="R1814f199437644be"/>
    <x:sheet xmlns:r="http://schemas.openxmlformats.org/officeDocument/2006/relationships" name="G4_TRIAGEM" sheetId="63" r:id="Rc204fc0d1cd040e5"/>
    <x:sheet xmlns:r="http://schemas.openxmlformats.org/officeDocument/2006/relationships" name="G4_PUGH" sheetId="64" r:id="R18bf2341f2cf4c6a"/>
    <x:sheet xmlns:r="http://schemas.openxmlformats.org/officeDocument/2006/relationships" name="G4_PONDER" sheetId="65" r:id="R155758d583664be2"/>
    <x:sheet xmlns:r="http://schemas.openxmlformats.org/officeDocument/2006/relationships" name="G4_TRADE" sheetId="66" r:id="R11c2d96f918e44cb"/>
    <x:sheet xmlns:r="http://schemas.openxmlformats.org/officeDocument/2006/relationships" name="G4_NEC_CONC" sheetId="67" r:id="Rfae763713f354cd7"/>
    <x:sheet xmlns:r="http://schemas.openxmlformats.org/officeDocument/2006/relationships" name="G4_CTQ_CONC" sheetId="68" r:id="Recca58253d9d4353"/>
    <x:sheet xmlns:r="http://schemas.openxmlformats.org/officeDocument/2006/relationships" name="G4_ATRAT" sheetId="69" r:id="R146951abe3994031"/>
    <x:sheet xmlns:r="http://schemas.openxmlformats.org/officeDocument/2006/relationships" name="G4_TESTE" sheetId="70" r:id="R77e42fd828144992"/>
    <x:sheet xmlns:r="http://schemas.openxmlformats.org/officeDocument/2006/relationships" name="G4_PROTO" sheetId="71" r:id="Re696a38e2f7945ac"/>
    <x:sheet xmlns:r="http://schemas.openxmlformats.org/officeDocument/2006/relationships" name="G4_SCORE" sheetId="72" r:id="R1d9efc2a33eb42cf"/>
    <x:sheet xmlns:r="http://schemas.openxmlformats.org/officeDocument/2006/relationships" name="G4_INCERT" sheetId="73" r:id="Rc472513690344d93"/>
    <x:sheet xmlns:r="http://schemas.openxmlformats.org/officeDocument/2006/relationships" name="G4_GONOGO" sheetId="74" r:id="R34f31778f7054e23"/>
    <x:sheet xmlns:r="http://schemas.openxmlformats.org/officeDocument/2006/relationships" name="G5_MISSAO" sheetId="75" r:id="R16f6199178024e27"/>
    <x:sheet xmlns:r="http://schemas.openxmlformats.org/officeDocument/2006/relationships" name="G5_REQ" sheetId="76" r:id="R777f6686260f4b25"/>
    <x:sheet xmlns:r="http://schemas.openxmlformats.org/officeDocument/2006/relationships" name="G5_UNS" sheetId="77" r:id="R9f8278feb7464523"/>
    <x:sheet xmlns:r="http://schemas.openxmlformats.org/officeDocument/2006/relationships" name="G5_CTQ" sheetId="78" r:id="R9c58eb2c672d4b1a"/>
    <x:sheet xmlns:r="http://schemas.openxmlformats.org/officeDocument/2006/relationships" name="G5_QFD" sheetId="79" r:id="R71ba2728bdda4c6a"/>
    <x:sheet xmlns:r="http://schemas.openxmlformats.org/officeDocument/2006/relationships" name="G5_CLAIMS" sheetId="80" r:id="R13ee0ebbebff4ac7"/>
    <x:sheet xmlns:r="http://schemas.openxmlformats.org/officeDocument/2006/relationships" name="G5_INCERT" sheetId="81" r:id="Raabfddd2428842ee"/>
    <x:sheet xmlns:r="http://schemas.openxmlformats.org/officeDocument/2006/relationships" name="G5_APREND" sheetId="82" r:id="R4e95a019f0ff40e3"/>
    <x:sheet xmlns:r="http://schemas.openxmlformats.org/officeDocument/2006/relationships" name="G5_PREM" sheetId="83" r:id="Ra2a3cad8949940bd"/>
    <x:sheet xmlns:r="http://schemas.openxmlformats.org/officeDocument/2006/relationships" name="G5_RECOM" sheetId="84" r:id="R42ed2ecc386e419b"/>
    <x:sheet xmlns:r="http://schemas.openxmlformats.org/officeDocument/2006/relationships" name="G5_ONEPAGE" sheetId="85" r:id="Ree3e78fc8e5640a1"/>
    <x:sheet xmlns:r="http://schemas.openxmlformats.org/officeDocument/2006/relationships" name="G5_RELFINAL" sheetId="86" r:id="R7493d3934c454fca"/>
    <x:sheet xmlns:r="http://schemas.openxmlformats.org/officeDocument/2006/relationships" name="G5_TERMO" sheetId="87" r:id="R21ffc7f52cfc42e3"/>
    <x:sheet xmlns:r="http://schemas.openxmlformats.org/officeDocument/2006/relationships" name="G5_TRANSFER" sheetId="88" r:id="R9dae62d1015f424e"/>
    <x:sheet xmlns:r="http://schemas.openxmlformats.org/officeDocument/2006/relationships" name="G5_GONOGO" sheetId="89" r:id="Ra005e4bd9f1e473c"/>
    <x:sheet xmlns:r="http://schemas.openxmlformats.org/officeDocument/2006/relationships" name="README_GERADOR" sheetId="90" r:id="R1dd4d3c37fb946f1"/>
    <x:sheet xmlns:r="http://schemas.openxmlformats.org/officeDocument/2006/relationships" name="02_Cronograma" sheetId="91" r:id="Rcc327578dab94de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dd/mm/yyyy"/>
    <x:numFmt numFmtId="201" formatCode="0%"/>
    <x:numFmt numFmtId="202" formatCode="dd/mm/yyyy hh:mm"/>
    <x:numFmt numFmtId="203" formatCode="dd/mm"/>
  </x:numFmts>
  <x:fonts count="13">
    <x:font>
      <x:sz val="11"/>
      <x:name val="Carlito"/>
    </x:font>
    <x:font>
      <x:b/>
      <x:sz val="18"/>
      <x:color rgb="1F2937"/>
      <x:name val="Carlito"/>
    </x:font>
    <x:font>
      <x:i/>
      <x:sz val="11"/>
      <x:color rgb="1F2937"/>
      <x:name val="Carlito"/>
    </x:font>
    <x:font>
      <x:b/>
      <x:sz val="11"/>
      <x:color rgb="FFFFFF"/>
      <x:name val="Carlito"/>
    </x:font>
    <x:font>
      <x:b/>
      <x:sz val="11"/>
      <x:name val="Carlito"/>
    </x:font>
    <x:font>
      <x:b/>
      <x:sz val="11"/>
      <x:color rgb="0B4F6C"/>
      <x:name val="Carlito"/>
    </x:font>
    <x:font>
      <x:b/>
      <x:sz val="11"/>
      <x:color rgb="1F2937"/>
      <x:name val="Carlito"/>
    </x:font>
    <x:font>
      <x:b/>
      <x:sz val="16"/>
      <x:color rgb="FFFFFF"/>
      <x:name val="Carlito"/>
    </x:font>
    <x:font>
      <x:i/>
      <x:sz val="10"/>
      <x:color rgb="1F2937"/>
      <x:name val="Carlito"/>
    </x:font>
    <x:font>
      <x:b/>
      <x:sz val="9"/>
      <x:name val="Carlito"/>
    </x:font>
    <x:font>
      <x:b/>
      <x:sz val="9"/>
      <x:color rgb="FFFFFF"/>
      <x:name val="Carlito"/>
    </x:font>
    <x:font>
      <x:b/>
      <x:sz val="11"/>
      <x:color rgb="0F766E"/>
      <x:name val="Carlito"/>
    </x:font>
    <x:font>
      <x:b/>
      <x:sz val="11"/>
      <x:color rgb="7C2D12"/>
      <x:name val="Carlito"/>
    </x:font>
  </x:fonts>
  <x:fills count="19">
    <x:fill>
      <x:patternFill patternType="none"/>
    </x:fill>
    <x:fill>
      <x:patternFill patternType="gray125"/>
    </x:fill>
    <x:fill>
      <x:patternFill patternType="solid">
        <x:fgColor rgb="EEF5FB"/>
      </x:patternFill>
    </x:fill>
    <x:fill>
      <x:patternFill patternType="solid">
        <x:fgColor rgb="FFF2CC"/>
      </x:patternFill>
    </x:fill>
    <x:fill>
      <x:patternFill patternType="solid">
        <x:fgColor rgb="1F4E78"/>
      </x:patternFill>
    </x:fill>
    <x:fill>
      <x:patternFill patternType="solid">
        <x:fgColor rgb="FFFFFF"/>
      </x:patternFill>
    </x:fill>
    <x:fill>
      <x:patternFill patternType="solid">
        <x:fgColor rgb="D9EAF7"/>
      </x:patternFill>
    </x:fill>
    <x:fill>
      <x:patternFill patternType="solid">
        <x:fgColor rgb="F3F4F6"/>
      </x:patternFill>
    </x:fill>
    <x:fill>
      <x:patternFill patternType="solid">
        <x:fgColor rgb="E0F2FE"/>
      </x:patternFill>
    </x:fill>
    <x:fill>
      <x:patternFill patternType="solid">
        <x:fgColor rgb="E2F0D9"/>
      </x:patternFill>
    </x:fill>
    <x:fill>
      <x:patternFill patternType="solid">
        <x:fgColor rgb="EAF3F8"/>
      </x:patternFill>
    </x:fill>
    <x:fill>
      <x:patternFill patternType="solid">
        <x:fgColor rgb="1F4E78"/>
      </x:patternFill>
    </x:fill>
    <x:fill>
      <x:patternFill patternType="solid">
        <x:fgColor rgb="D9EAF7"/>
      </x:patternFill>
    </x:fill>
    <x:fill>
      <x:patternFill patternType="solid">
        <x:fgColor rgb="E2F0D9"/>
      </x:patternFill>
    </x:fill>
    <x:fill>
      <x:patternFill patternType="solid">
        <x:fgColor rgb="FFF2CC"/>
      </x:patternFill>
    </x:fill>
    <x:fill>
      <x:patternFill patternType="solid">
        <x:fgColor rgb="F8FAFC"/>
      </x:patternFill>
    </x:fill>
    <x:fill>
      <x:patternFill patternType="solid">
        <x:fgColor rgb="0F766E"/>
      </x:patternFill>
    </x:fill>
    <x:fill>
      <x:patternFill patternType="solid">
        <x:fgColor rgb="134E4A"/>
      </x:patternFill>
    </x:fill>
    <x:fill>
      <x:patternFill patternType="solid">
        <x:fgColor rgb="E0F2FE"/>
      </x:patternFill>
    </x:fill>
  </x:fills>
  <x:borders count="2">
    <x:border/>
    <x:border/>
  </x:borders>
  <x:cellStyleXfs count="1">
    <x:xf numFmtId="0" fontId="0" fillId="0" borderId="0"/>
  </x:cellStyleXfs>
  <x:cellXfs count="13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top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vertical="top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0" fontId="0" fillId="3" borderId="0" xfId="0" applyNumberFormat="1" applyFont="1" applyFill="1" applyBorder="1" applyAlignment="1">
      <x:alignment wrapText="1"/>
    </x:xf>
    <x:xf numFmtId="0" fontId="0" fillId="3" borderId="1" xfId="0" applyNumberFormat="1" applyFont="1" applyFill="1" applyBorder="1" applyAlignment="1">
      <x:alignment wrapText="1"/>
    </x:xf>
    <x:xf numFmtId="0" fontId="0" fillId="5" borderId="0" xfId="0" applyNumberFormat="1" applyFont="1" applyFill="1" applyBorder="1" applyAlignment="1">
      <x:alignment wrapText="1"/>
    </x:xf>
    <x:xf numFmtId="0" fontId="0" fillId="5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vertical="top" wrapText="1"/>
    </x:xf>
    <x:xf numFmtId="0" fontId="0" fillId="0" borderId="0" xfId="0" applyNumberFormat="1" applyFont="1" applyFill="1" applyBorder="1" applyAlignment="1">
      <x:alignment vertical="top" wrapText="1"/>
    </x:xf>
    <x:xf numFmtId="200" fontId="0" fillId="0" borderId="0" xfId="0" applyNumberFormat="1" applyFont="1" applyFill="1" applyBorder="1" applyAlignment="1">
      <x:alignment vertical="top" wrapText="1"/>
    </x:xf>
    <x:xf numFmtId="0" fontId="0" fillId="3" borderId="0" xfId="0" applyNumberFormat="1" applyFont="1" applyFill="1" applyBorder="1" applyAlignment="1">
      <x:alignment vertical="top" wrapText="1"/>
    </x:xf>
    <x:xf numFmtId="0" fontId="0" fillId="5" borderId="0" xfId="0" applyNumberFormat="1" applyFont="1" applyFill="1" applyBorder="1" applyAlignment="1">
      <x:alignment vertical="top" wrapText="1"/>
    </x:xf>
    <x:xf numFmtId="0" fontId="3" fillId="4" borderId="1" xfId="0" applyNumberFormat="1" applyFont="1" applyFill="1" applyBorder="1" applyAlignment="1">
      <x:alignment horizontal="center" vertical="top" wrapText="1"/>
    </x:xf>
    <x:xf numFmtId="0" fontId="0" fillId="0" borderId="1" xfId="0" applyNumberFormat="1" applyFont="1" applyFill="1" applyBorder="1" applyAlignment="1">
      <x:alignment vertical="top" wrapText="1"/>
    </x:xf>
    <x:xf numFmtId="200" fontId="0" fillId="0" borderId="1" xfId="0" applyNumberFormat="1" applyFont="1" applyFill="1" applyBorder="1" applyAlignment="1">
      <x:alignment vertical="top" wrapText="1"/>
    </x:xf>
    <x:xf numFmtId="0" fontId="0" fillId="3" borderId="1" xfId="0" applyNumberFormat="1" applyFont="1" applyFill="1" applyBorder="1" applyAlignment="1">
      <x:alignment vertical="top" wrapText="1"/>
    </x:xf>
    <x:xf numFmtId="0" fontId="0" fillId="5" borderId="1" xfId="0" applyNumberFormat="1" applyFont="1" applyFill="1" applyBorder="1" applyAlignment="1">
      <x:alignment vertical="top" wrapText="1"/>
    </x:xf>
    <x:xf numFmtId="0" fontId="0" fillId="6" borderId="0" xfId="0" applyNumberFormat="1" applyFont="1" applyFill="1" applyBorder="1"/>
    <x:xf numFmtId="0" fontId="4" fillId="6" borderId="0" xfId="0" applyNumberFormat="1" applyFont="1" applyFill="1" applyBorder="1"/>
    <x:xf numFmtId="0" fontId="4" fillId="6" borderId="0" xfId="0" applyNumberFormat="1" applyFont="1" applyFill="1" applyBorder="1" applyAlignment="1">
      <x:alignment vertical="top"/>
    </x:xf>
    <x:xf numFmtId="0" fontId="0" fillId="6" borderId="1" xfId="0" applyNumberFormat="1" applyFont="1" applyFill="1" applyBorder="1"/>
    <x:xf numFmtId="0" fontId="4" fillId="6" borderId="1" xfId="0" applyNumberFormat="1" applyFont="1" applyFill="1" applyBorder="1"/>
    <x:xf numFmtId="0" fontId="4" fillId="6" borderId="1" xfId="0" applyNumberFormat="1" applyFont="1" applyFill="1" applyBorder="1" applyAlignment="1">
      <x:alignment vertical="top"/>
    </x:xf>
    <x:xf numFmtId="0" fontId="0" fillId="5" borderId="0" xfId="0" applyNumberFormat="1" applyFont="1" applyFill="1" applyBorder="1"/>
    <x:xf numFmtId="0" fontId="0" fillId="5" borderId="1" xfId="0" applyNumberFormat="1" applyFont="1" applyFill="1" applyBorder="1"/>
    <x:xf numFmtId="0" fontId="0" fillId="7" borderId="0" xfId="0" applyNumberFormat="1" applyFont="1" applyFill="1" applyBorder="1"/>
    <x:xf numFmtId="0" fontId="4" fillId="7" borderId="0" xfId="0" applyNumberFormat="1" applyFont="1" applyFill="1" applyBorder="1"/>
    <x:xf numFmtId="0" fontId="0" fillId="7" borderId="1" xfId="0" applyNumberFormat="1" applyFont="1" applyFill="1" applyBorder="1"/>
    <x:xf numFmtId="0" fontId="4" fillId="7" borderId="1" xfId="0" applyNumberFormat="1" applyFont="1" applyFill="1" applyBorder="1"/>
    <x:xf numFmtId="0" fontId="4" fillId="7" borderId="0" xfId="0" applyNumberFormat="1" applyFont="1" applyFill="1" applyBorder="1" applyAlignment="1">
      <x:alignment wrapText="1"/>
    </x:xf>
    <x:xf numFmtId="0" fontId="4" fillId="7" borderId="1" xfId="0" applyNumberFormat="1" applyFont="1" applyFill="1" applyBorder="1" applyAlignment="1">
      <x:alignment wrapText="1"/>
    </x:xf>
    <x:xf numFmtId="0" fontId="0" fillId="8" borderId="0" xfId="0" applyNumberFormat="1" applyFont="1" applyFill="1" applyBorder="1"/>
    <x:xf numFmtId="0" fontId="5" fillId="8" borderId="0" xfId="0" applyNumberFormat="1" applyFont="1" applyFill="1" applyBorder="1"/>
    <x:xf numFmtId="0" fontId="0" fillId="8" borderId="1" xfId="0" applyNumberFormat="1" applyFont="1" applyFill="1" applyBorder="1"/>
    <x:xf numFmtId="0" fontId="5" fillId="8" borderId="1" xfId="0" applyNumberFormat="1" applyFont="1" applyFill="1" applyBorder="1"/>
    <x:xf numFmtId="0" fontId="6" fillId="6" borderId="0" xfId="0" applyNumberFormat="1" applyFont="1" applyFill="1" applyBorder="1"/>
    <x:xf numFmtId="0" fontId="6" fillId="6" borderId="0" xfId="0" applyNumberFormat="1" applyFont="1" applyFill="1" applyBorder="1" applyAlignment="1">
      <x:alignment wrapText="1"/>
    </x:xf>
    <x:xf numFmtId="0" fontId="6" fillId="6" borderId="0" xfId="0" applyNumberFormat="1" applyFont="1" applyFill="1" applyBorder="1" applyAlignment="1">
      <x:alignment vertical="center" wrapText="1"/>
    </x:xf>
    <x:xf numFmtId="0" fontId="6" fillId="6" borderId="1" xfId="0" applyNumberFormat="1" applyFont="1" applyFill="1" applyBorder="1"/>
    <x:xf numFmtId="0" fontId="6" fillId="6" borderId="1" xfId="0" applyNumberFormat="1" applyFont="1" applyFill="1" applyBorder="1" applyAlignment="1">
      <x:alignment wrapText="1"/>
    </x:xf>
    <x:xf numFmtId="0" fontId="6" fillId="6" borderId="1" xfId="0" applyNumberFormat="1" applyFont="1" applyFill="1" applyBorder="1" applyAlignment="1">
      <x:alignment vertical="center" wrapText="1"/>
    </x:xf>
    <x:xf numFmtId="0" fontId="0" fillId="9" borderId="0" xfId="0" applyNumberFormat="1" applyFont="1" applyFill="1" applyBorder="1"/>
    <x:xf numFmtId="0" fontId="4" fillId="9" borderId="0" xfId="0" applyNumberFormat="1" applyFont="1" applyFill="1" applyBorder="1"/>
    <x:xf numFmtId="0" fontId="0" fillId="9" borderId="1" xfId="0" applyNumberFormat="1" applyFont="1" applyFill="1" applyBorder="1"/>
    <x:xf numFmtId="0" fontId="4" fillId="9" borderId="1" xfId="0" applyNumberFormat="1" applyFont="1" applyFill="1" applyBorder="1"/>
    <x:xf numFmtId="201" fontId="4" fillId="9" borderId="0" xfId="0" applyNumberFormat="1" applyFont="1" applyFill="1" applyBorder="1"/>
    <x:xf numFmtId="201" fontId="4" fillId="9" borderId="1" xfId="0" applyNumberFormat="1" applyFont="1" applyFill="1" applyBorder="1"/>
    <x:xf numFmtId="0" fontId="0" fillId="10" borderId="0" xfId="0" applyNumberFormat="1" applyFont="1" applyFill="1" applyBorder="1"/>
    <x:xf numFmtId="0" fontId="0" fillId="10" borderId="0" xfId="0" applyNumberFormat="1" applyFont="1" applyFill="1" applyBorder="1" applyAlignment="1">
      <x:alignment wrapText="1"/>
    </x:xf>
    <x:xf numFmtId="0" fontId="0" fillId="10" borderId="1" xfId="0" applyNumberFormat="1" applyFont="1" applyFill="1" applyBorder="1"/>
    <x:xf numFmtId="0" fontId="0" fillId="1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/>
    <x:xf numFmtId="0" fontId="0" fillId="11" borderId="0" xfId="0" applyNumberFormat="1" applyFont="1" applyFill="1" applyBorder="1"/>
    <x:xf numFmtId="0" fontId="7" fillId="11" borderId="0" xfId="0" applyNumberFormat="1" applyFont="1" applyFill="1" applyBorder="1"/>
    <x:xf numFmtId="0" fontId="7" fillId="11" borderId="0" xfId="0" applyNumberFormat="1" applyFont="1" applyFill="1" applyBorder="1" applyAlignment="1">
      <x:alignment horizontal="center"/>
    </x:xf>
    <x:xf numFmtId="0" fontId="7" fillId="11" borderId="0" xfId="0" applyNumberFormat="1" applyFont="1" applyFill="1" applyBorder="1" applyAlignment="1">
      <x:alignment horizontal="center" vertical="center"/>
    </x:xf>
    <x:xf numFmtId="0" fontId="0" fillId="12" borderId="0" xfId="0" applyNumberFormat="1" applyFont="1" applyFill="1" applyBorder="1"/>
    <x:xf numFmtId="0" fontId="8" fillId="12" borderId="0" xfId="0" applyNumberFormat="1" applyFont="1" applyFill="1" applyBorder="1"/>
    <x:xf numFmtId="0" fontId="8" fillId="12" borderId="0" xfId="0" applyNumberFormat="1" applyFont="1" applyFill="1" applyBorder="1" applyAlignment="1">
      <x:alignment wrapText="1"/>
    </x:xf>
    <x:xf numFmtId="0" fontId="8" fillId="12" borderId="0" xfId="0" applyNumberFormat="1" applyFont="1" applyFill="1" applyBorder="1" applyAlignment="1">
      <x:alignment horizontal="left" wrapText="1"/>
    </x:xf>
    <x:xf numFmtId="0" fontId="0" fillId="13" borderId="0" xfId="0" applyNumberFormat="1" applyFont="1" applyFill="1" applyBorder="1"/>
    <x:xf numFmtId="0" fontId="4" fillId="13" borderId="0" xfId="0" applyNumberFormat="1" applyFont="1" applyFill="1" applyBorder="1"/>
    <x:xf numFmtId="0" fontId="4" fillId="13" borderId="0" xfId="0" applyNumberFormat="1" applyFont="1" applyFill="1" applyBorder="1" applyAlignment="1">
      <x:alignment wrapText="1"/>
    </x:xf>
    <x:xf numFmtId="0" fontId="0" fillId="14" borderId="0" xfId="0" applyNumberFormat="1" applyFont="1" applyFill="1" applyBorder="1"/>
    <x:xf numFmtId="0" fontId="0" fillId="14" borderId="0" xfId="0" applyNumberFormat="1" applyFont="1" applyFill="1" applyBorder="1" applyAlignment="1">
      <x:alignment wrapText="1"/>
    </x:xf>
    <x:xf numFmtId="0" fontId="0" fillId="15" borderId="0" xfId="0" applyNumberFormat="1" applyFont="1" applyFill="1" applyBorder="1"/>
    <x:xf numFmtId="0" fontId="0" fillId="15" borderId="0" xfId="0" applyNumberFormat="1" applyFont="1" applyFill="1" applyBorder="1" applyAlignment="1">
      <x:alignment wrapText="1"/>
    </x:xf>
    <x:xf numFmtId="0" fontId="0" fillId="16" borderId="0" xfId="0" applyNumberFormat="1" applyFont="1" applyFill="1" applyBorder="1"/>
    <x:xf numFmtId="0" fontId="3" fillId="16" borderId="0" xfId="0" applyNumberFormat="1" applyFont="1" applyFill="1" applyBorder="1"/>
    <x:xf numFmtId="0" fontId="3" fillId="16" borderId="0" xfId="0" applyNumberFormat="1" applyFont="1" applyFill="1" applyBorder="1" applyAlignment="1">
      <x:alignment horizontal="center"/>
    </x:xf>
    <x:xf numFmtId="0" fontId="0" fillId="17" borderId="0" xfId="0" applyNumberFormat="1" applyFont="1" applyFill="1" applyBorder="1"/>
    <x:xf numFmtId="0" fontId="3" fillId="17" borderId="0" xfId="0" applyNumberFormat="1" applyFont="1" applyFill="1" applyBorder="1"/>
    <x:xf numFmtId="0" fontId="3" fillId="17" borderId="0" xfId="0" applyNumberFormat="1" applyFont="1" applyFill="1" applyBorder="1" applyAlignment="1">
      <x:alignment wrapText="1"/>
    </x:xf>
    <x:xf numFmtId="0" fontId="3" fillId="17" borderId="0" xfId="0" applyNumberFormat="1" applyFont="1" applyFill="1" applyBorder="1" applyAlignment="1">
      <x:alignment horizontal="center" wrapText="1"/>
    </x:xf>
    <x:xf numFmtId="0" fontId="0" fillId="18" borderId="0" xfId="0" applyNumberFormat="1" applyFont="1" applyFill="1" applyBorder="1"/>
    <x:xf numFmtId="0" fontId="3" fillId="18" borderId="0" xfId="0" applyNumberFormat="1" applyFont="1" applyFill="1" applyBorder="1" applyAlignment="1">
      <x:alignment horizontal="center" wrapText="1"/>
    </x:xf>
    <x:xf numFmtId="0" fontId="9" fillId="18" borderId="0" xfId="0" applyNumberFormat="1" applyFont="1" applyFill="1" applyBorder="1"/>
    <x:xf numFmtId="0" fontId="10" fillId="18" borderId="0" xfId="0" applyNumberFormat="1" applyFont="1" applyFill="1" applyBorder="1" applyAlignment="1">
      <x:alignment horizontal="center" wrapText="1"/>
    </x:xf>
    <x:xf numFmtId="0" fontId="9" fillId="18" borderId="0" xfId="0" applyNumberFormat="1" applyFont="1" applyFill="1" applyBorder="1" applyAlignment="1">
      <x:alignment horizontal="center"/>
    </x:xf>
    <x:xf numFmtId="200" fontId="0" fillId="14" borderId="0" xfId="0" applyNumberFormat="1" applyFont="1" applyFill="1" applyBorder="1" applyAlignment="1">
      <x:alignment wrapText="1"/>
    </x:xf>
    <x:xf numFmtId="202" fontId="0" fillId="15" borderId="0" xfId="0" applyNumberFormat="1" applyFont="1" applyFill="1" applyBorder="1" applyAlignment="1">
      <x:alignment wrapText="1"/>
    </x:xf>
    <x:xf numFmtId="203" fontId="9" fillId="18" borderId="0" xfId="0" applyNumberFormat="1" applyFont="1" applyFill="1" applyBorder="1" applyAlignment="1">
      <x:alignment horizontal="center"/>
    </x:xf>
    <x:xf numFmtId="203" fontId="10" fillId="18" borderId="0" xfId="0" applyNumberFormat="1" applyFont="1" applyFill="1" applyBorder="1" applyAlignment="1">
      <x:alignment horizontal="center" wrapText="1"/>
    </x:xf>
    <x:xf numFmtId="201" fontId="0" fillId="0" borderId="0" xfId="0" applyNumberFormat="1" applyFont="1" applyFill="1" applyBorder="1"/>
    <x:xf numFmtId="0" fontId="7" fillId="11" borderId="0" xfId="0" applyNumberFormat="1" applyFont="1" applyFill="1" applyBorder="1" applyAlignment="1">
      <x:alignment horizontal="center" vertical="center" wrapText="1"/>
    </x:xf>
    <x:xf numFmtId="0" fontId="3" fillId="16" borderId="0" xfId="0" applyNumberFormat="1" applyFont="1" applyFill="1" applyBorder="1" applyAlignment="1">
      <x:alignment horizontal="center" wrapText="1"/>
    </x:xf>
    <x:xf numFmtId="201" fontId="0" fillId="0" borderId="0" xfId="0" applyNumberFormat="1" applyFont="1" applyFill="1" applyBorder="1" applyAlignment="1">
      <x:alignment wrapText="1"/>
    </x:xf>
    <x:xf numFmtId="203" fontId="9" fillId="18" borderId="0" xfId="0" applyNumberFormat="1" applyFont="1" applyFill="1" applyBorder="1" applyAlignment="1">
      <x:alignment horizontal="center" wrapText="1"/>
    </x:xf>
    <x:xf numFmtId="0" fontId="8" fillId="12" borderId="0" xfId="0" applyNumberFormat="1" applyFont="1" applyFill="1" applyBorder="1" applyAlignment="1">
      <x:alignment horizontal="left" vertical="center" wrapText="1"/>
    </x:xf>
    <x:xf numFmtId="0" fontId="0" fillId="0" borderId="0" xfId="0" applyNumberFormat="1" applyFont="1" applyFill="1" applyBorder="1" applyAlignment="1">
      <x:alignment vertical="center" wrapText="1"/>
    </x:xf>
    <x:xf numFmtId="0" fontId="4" fillId="13" borderId="0" xfId="0" applyNumberFormat="1" applyFont="1" applyFill="1" applyBorder="1" applyAlignment="1">
      <x:alignment vertical="center" wrapText="1"/>
    </x:xf>
    <x:xf numFmtId="0" fontId="0" fillId="14" borderId="0" xfId="0" applyNumberFormat="1" applyFont="1" applyFill="1" applyBorder="1" applyAlignment="1">
      <x:alignment vertical="center" wrapText="1"/>
    </x:xf>
    <x:xf numFmtId="0" fontId="0" fillId="15" borderId="0" xfId="0" applyNumberFormat="1" applyFont="1" applyFill="1" applyBorder="1" applyAlignment="1">
      <x:alignment vertical="center" wrapText="1"/>
    </x:xf>
    <x:xf numFmtId="200" fontId="0" fillId="14" borderId="0" xfId="0" applyNumberFormat="1" applyFont="1" applyFill="1" applyBorder="1" applyAlignment="1">
      <x:alignment vertical="center" wrapText="1"/>
    </x:xf>
    <x:xf numFmtId="202" fontId="0" fillId="15" borderId="0" xfId="0" applyNumberFormat="1" applyFont="1" applyFill="1" applyBorder="1" applyAlignment="1">
      <x:alignment vertical="center" wrapText="1"/>
    </x:xf>
    <x:xf numFmtId="0" fontId="3" fillId="16" borderId="0" xfId="0" applyNumberFormat="1" applyFont="1" applyFill="1" applyBorder="1" applyAlignment="1">
      <x:alignment horizontal="center" vertical="center" wrapText="1"/>
    </x:xf>
    <x:xf numFmtId="0" fontId="3" fillId="17" borderId="0" xfId="0" applyNumberFormat="1" applyFont="1" applyFill="1" applyBorder="1" applyAlignment="1">
      <x:alignment horizontal="center" vertical="center" wrapText="1"/>
    </x:xf>
    <x:xf numFmtId="201" fontId="0" fillId="0" borderId="0" xfId="0" applyNumberFormat="1" applyFont="1" applyFill="1" applyBorder="1" applyAlignment="1">
      <x:alignment vertical="center" wrapText="1"/>
    </x:xf>
    <x:xf numFmtId="200" fontId="0" fillId="0" borderId="0" xfId="0" applyNumberFormat="1" applyFont="1" applyFill="1" applyBorder="1" applyAlignment="1">
      <x:alignment vertical="center" wrapText="1"/>
    </x:xf>
    <x:xf numFmtId="203" fontId="9" fillId="18" borderId="0" xfId="0" applyNumberFormat="1" applyFont="1" applyFill="1" applyBorder="1" applyAlignment="1">
      <x:alignment horizontal="center" vertical="center" wrapText="1"/>
    </x:xf>
    <x:xf numFmtId="203" fontId="10" fillId="18" borderId="0" xfId="0" applyNumberFormat="1" applyFont="1" applyFill="1" applyBorder="1" applyAlignment="1">
      <x:alignment horizontal="center" vertical="center" wrapText="1"/>
    </x:xf>
    <x:xf numFmtId="0" fontId="11" fillId="0" borderId="0" xfId="0" applyNumberFormat="1" applyFont="1" applyFill="1" applyBorder="1" applyAlignment="1">
      <x:alignment vertical="center" wrapText="1"/>
    </x:xf>
    <x:xf numFmtId="0" fontId="11" fillId="0" borderId="0" xfId="0" applyNumberFormat="1" applyFont="1" applyFill="1" applyBorder="1" applyAlignment="1">
      <x:alignment horizontal="center" vertical="center" wrapText="1"/>
    </x:xf>
    <x:xf numFmtId="0" fontId="12" fillId="14" borderId="0" xfId="0" applyNumberFormat="1" applyFont="1" applyFill="1" applyBorder="1"/>
    <x:xf numFmtId="0" fontId="12" fillId="14" borderId="0" xfId="0" applyNumberFormat="1" applyFont="1" applyFill="1" applyBorder="1" applyAlignment="1">
      <x:alignment wrapText="1"/>
    </x:xf>
  </x:cellXfs>
  <x:cellStyles count="1">
    <x:cellStyle name="Normal" xfId="0"/>
  </x:cellStyles>
  <x:dxfs count="6">
    <x:dxf>
      <x:font>
        <x:b/>
        <x:color rgb="166534"/>
      </x:font>
      <x:fill>
        <x:patternFill>
          <x:bgColor rgb="DCFCE7"/>
        </x:patternFill>
      </x:fill>
    </x:dxf>
    <x:dxf>
      <x:font>
        <x:color rgb="166534"/>
      </x:font>
      <x:fill>
        <x:patternFill>
          <x:bgColor rgb="DCFCE7"/>
        </x:patternFill>
      </x:fill>
    </x:dxf>
    <x:dxf>
      <x:font>
        <x:color rgb="1D4ED8"/>
      </x:font>
      <x:fill>
        <x:patternFill>
          <x:bgColor rgb="DBEAFE"/>
        </x:patternFill>
      </x:fill>
    </x:dxf>
    <x:dxf>
      <x:font>
        <x:color rgb="B91C1C"/>
      </x:font>
      <x:fill>
        <x:patternFill>
          <x:bgColor rgb="FEE2E2"/>
        </x:patternFill>
      </x:fill>
    </x:dxf>
    <x:dxf>
      <x:font>
        <x:color rgb="92400E"/>
      </x:font>
      <x:fill>
        <x:patternFill>
          <x:bgColor rgb="FEF3C7"/>
        </x:patternFill>
      </x:fill>
    </x:dxf>
    <x:dxf>
      <x:font>
        <x:color rgb="166534"/>
      </x:font>
      <x:fill>
        <x:patternFill>
          <x:bgColor rgb="BBF7D0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47a19125b934ce2" /><Relationship Type="http://schemas.openxmlformats.org/officeDocument/2006/relationships/theme" Target="/xl/theme/theme1.xml" Id="R62b07250cb6440a7" /><Relationship Type="http://schemas.openxmlformats.org/officeDocument/2006/relationships/sharedStrings" Target="/xl/sharedStrings.xml" Id="R20d8b1f09f2e4682" /><Relationship Type="http://schemas.openxmlformats.org/officeDocument/2006/relationships/worksheet" Target="/xl/worksheets/sheet1.xml" Id="R1fc5227033ba4d6e" /><Relationship Type="http://schemas.openxmlformats.org/officeDocument/2006/relationships/worksheet" Target="/xl/worksheets/sheet2.xml" Id="R3ef56a415dbd465d" /><Relationship Type="http://schemas.openxmlformats.org/officeDocument/2006/relationships/worksheet" Target="/xl/worksheets/sheet3.xml" Id="R869f2288d41a43dc" /><Relationship Type="http://schemas.openxmlformats.org/officeDocument/2006/relationships/worksheet" Target="/xl/worksheets/sheet4.xml" Id="R2de72618d9fd4844" /><Relationship Type="http://schemas.openxmlformats.org/officeDocument/2006/relationships/worksheet" Target="/xl/worksheets/sheet5.xml" Id="R565728b83fb8406a" /><Relationship Type="http://schemas.openxmlformats.org/officeDocument/2006/relationships/worksheet" Target="/xl/worksheets/sheet6.xml" Id="R632e7da7ee9f45d1" /><Relationship Type="http://schemas.openxmlformats.org/officeDocument/2006/relationships/worksheet" Target="/xl/worksheets/sheet7.xml" Id="Rf96db2aa24624bd0" /><Relationship Type="http://schemas.openxmlformats.org/officeDocument/2006/relationships/worksheet" Target="/xl/worksheets/sheet8.xml" Id="Rca8bd82dc7db4e95" /><Relationship Type="http://schemas.openxmlformats.org/officeDocument/2006/relationships/worksheet" Target="/xl/worksheets/sheet9.xml" Id="R63585185c3d9418c" /><Relationship Type="http://schemas.openxmlformats.org/officeDocument/2006/relationships/worksheet" Target="/xl/worksheets/sheet10.xml" Id="Ra16abbcca2864010" /><Relationship Type="http://schemas.openxmlformats.org/officeDocument/2006/relationships/worksheet" Target="/xl/worksheets/sheet11.xml" Id="Rcd914579243948b2" /><Relationship Type="http://schemas.openxmlformats.org/officeDocument/2006/relationships/worksheet" Target="/xl/worksheets/sheet12.xml" Id="Re9fdf25052674f41" /><Relationship Type="http://schemas.openxmlformats.org/officeDocument/2006/relationships/worksheet" Target="/xl/worksheets/sheet13.xml" Id="R5f9b74bdece74be5" /><Relationship Type="http://schemas.openxmlformats.org/officeDocument/2006/relationships/worksheet" Target="/xl/worksheets/sheet14.xml" Id="R9caad195ff834aca" /><Relationship Type="http://schemas.openxmlformats.org/officeDocument/2006/relationships/worksheet" Target="/xl/worksheets/sheet15.xml" Id="R1a642e75380a4e68" /><Relationship Type="http://schemas.openxmlformats.org/officeDocument/2006/relationships/worksheet" Target="/xl/worksheets/sheet16.xml" Id="R3354a8f1e0c344c8" /><Relationship Type="http://schemas.openxmlformats.org/officeDocument/2006/relationships/worksheet" Target="/xl/worksheets/sheet17.xml" Id="R212a62751df04001" /><Relationship Type="http://schemas.openxmlformats.org/officeDocument/2006/relationships/worksheet" Target="/xl/worksheets/sheet18.xml" Id="Rb488760a8e96475d" /><Relationship Type="http://schemas.openxmlformats.org/officeDocument/2006/relationships/worksheet" Target="/xl/worksheets/sheet19.xml" Id="Re9677c86db6b4cc0" /><Relationship Type="http://schemas.openxmlformats.org/officeDocument/2006/relationships/worksheet" Target="/xl/worksheets/sheet20.xml" Id="R8551713657984b9c" /><Relationship Type="http://schemas.openxmlformats.org/officeDocument/2006/relationships/worksheet" Target="/xl/worksheets/sheet21.xml" Id="Refa37aebdc9248a9" /><Relationship Type="http://schemas.openxmlformats.org/officeDocument/2006/relationships/worksheet" Target="/xl/worksheets/sheet22.xml" Id="Rabe71e1ac4ad4e6e" /><Relationship Type="http://schemas.openxmlformats.org/officeDocument/2006/relationships/worksheet" Target="/xl/worksheets/sheet23.xml" Id="R86698545c183416f" /><Relationship Type="http://schemas.openxmlformats.org/officeDocument/2006/relationships/worksheet" Target="/xl/worksheets/sheet24.xml" Id="R98848359b2d245ca" /><Relationship Type="http://schemas.openxmlformats.org/officeDocument/2006/relationships/worksheet" Target="/xl/worksheets/sheet25.xml" Id="R45ffedbf522c4180" /><Relationship Type="http://schemas.openxmlformats.org/officeDocument/2006/relationships/worksheet" Target="/xl/worksheets/sheet26.xml" Id="R596e30b4e05048a7" /><Relationship Type="http://schemas.openxmlformats.org/officeDocument/2006/relationships/worksheet" Target="/xl/worksheets/sheet27.xml" Id="R3e96b2cc3f4b4754" /><Relationship Type="http://schemas.openxmlformats.org/officeDocument/2006/relationships/worksheet" Target="/xl/worksheets/sheet28.xml" Id="R39fec3ea89454c9a" /><Relationship Type="http://schemas.openxmlformats.org/officeDocument/2006/relationships/worksheet" Target="/xl/worksheets/sheet29.xml" Id="Rccd53d8543e84916" /><Relationship Type="http://schemas.openxmlformats.org/officeDocument/2006/relationships/worksheet" Target="/xl/worksheets/sheet30.xml" Id="R114674ca721949aa" /><Relationship Type="http://schemas.openxmlformats.org/officeDocument/2006/relationships/worksheet" Target="/xl/worksheets/sheet31.xml" Id="Rfd6d12d56ce7452d" /><Relationship Type="http://schemas.openxmlformats.org/officeDocument/2006/relationships/worksheet" Target="/xl/worksheets/sheet32.xml" Id="R35f16a1d67944959" /><Relationship Type="http://schemas.openxmlformats.org/officeDocument/2006/relationships/worksheet" Target="/xl/worksheets/sheet33.xml" Id="Rebf501932b3d46d3" /><Relationship Type="http://schemas.openxmlformats.org/officeDocument/2006/relationships/worksheet" Target="/xl/worksheets/sheet34.xml" Id="R48ec3a5409214e3b" /><Relationship Type="http://schemas.openxmlformats.org/officeDocument/2006/relationships/worksheet" Target="/xl/worksheets/sheet35.xml" Id="Rb04f8c5a4e97440f" /><Relationship Type="http://schemas.openxmlformats.org/officeDocument/2006/relationships/worksheet" Target="/xl/worksheets/sheet36.xml" Id="R592ba22f891e490c" /><Relationship Type="http://schemas.openxmlformats.org/officeDocument/2006/relationships/worksheet" Target="/xl/worksheets/sheet37.xml" Id="Rdc4887e05a23423d" /><Relationship Type="http://schemas.openxmlformats.org/officeDocument/2006/relationships/worksheet" Target="/xl/worksheets/sheet38.xml" Id="R034bd0fe9010411f" /><Relationship Type="http://schemas.openxmlformats.org/officeDocument/2006/relationships/worksheet" Target="/xl/worksheets/sheet39.xml" Id="R893c67c5e64d432a" /><Relationship Type="http://schemas.openxmlformats.org/officeDocument/2006/relationships/worksheet" Target="/xl/worksheets/sheet40.xml" Id="Rc19194d03d5f4c95" /><Relationship Type="http://schemas.openxmlformats.org/officeDocument/2006/relationships/worksheet" Target="/xl/worksheets/sheet41.xml" Id="R6b27db239bd3428b" /><Relationship Type="http://schemas.openxmlformats.org/officeDocument/2006/relationships/worksheet" Target="/xl/worksheets/sheet42.xml" Id="R43e45b92c5574a68" /><Relationship Type="http://schemas.openxmlformats.org/officeDocument/2006/relationships/worksheet" Target="/xl/worksheets/sheet43.xml" Id="R880e6cddce884cc4" /><Relationship Type="http://schemas.openxmlformats.org/officeDocument/2006/relationships/worksheet" Target="/xl/worksheets/sheet44.xml" Id="R6bb366a12be24496" /><Relationship Type="http://schemas.openxmlformats.org/officeDocument/2006/relationships/worksheet" Target="/xl/worksheets/sheet45.xml" Id="R389b62bc372a4d9e" /><Relationship Type="http://schemas.openxmlformats.org/officeDocument/2006/relationships/worksheet" Target="/xl/worksheets/sheet46.xml" Id="R1de96c1a088e40d7" /><Relationship Type="http://schemas.openxmlformats.org/officeDocument/2006/relationships/worksheet" Target="/xl/worksheets/sheet47.xml" Id="R99efbf78f37e4778" /><Relationship Type="http://schemas.openxmlformats.org/officeDocument/2006/relationships/worksheet" Target="/xl/worksheets/sheet48.xml" Id="Rf4112f72cdf04b93" /><Relationship Type="http://schemas.openxmlformats.org/officeDocument/2006/relationships/worksheet" Target="/xl/worksheets/sheet49.xml" Id="R068085124ff941db" /><Relationship Type="http://schemas.openxmlformats.org/officeDocument/2006/relationships/worksheet" Target="/xl/worksheets/sheet50.xml" Id="R8797867172cd45cc" /><Relationship Type="http://schemas.openxmlformats.org/officeDocument/2006/relationships/worksheet" Target="/xl/worksheets/sheet51.xml" Id="R770306b442d44cd2" /><Relationship Type="http://schemas.openxmlformats.org/officeDocument/2006/relationships/worksheet" Target="/xl/worksheets/sheet52.xml" Id="Rcbe2e62c35a64cc6" /><Relationship Type="http://schemas.openxmlformats.org/officeDocument/2006/relationships/worksheet" Target="/xl/worksheets/sheet53.xml" Id="R2409aa8decc8453b" /><Relationship Type="http://schemas.openxmlformats.org/officeDocument/2006/relationships/worksheet" Target="/xl/worksheets/sheet54.xml" Id="R1997fa0824d24b75" /><Relationship Type="http://schemas.openxmlformats.org/officeDocument/2006/relationships/worksheet" Target="/xl/worksheets/sheet55.xml" Id="R2baf5ede75e84628" /><Relationship Type="http://schemas.openxmlformats.org/officeDocument/2006/relationships/worksheet" Target="/xl/worksheets/sheet56.xml" Id="R0b1d10a7b8b84a91" /><Relationship Type="http://schemas.openxmlformats.org/officeDocument/2006/relationships/worksheet" Target="/xl/worksheets/sheet57.xml" Id="R7209eaf8755041f3" /><Relationship Type="http://schemas.openxmlformats.org/officeDocument/2006/relationships/worksheet" Target="/xl/worksheets/sheet58.xml" Id="R770f5e8f6ab24c2f" /><Relationship Type="http://schemas.openxmlformats.org/officeDocument/2006/relationships/worksheet" Target="/xl/worksheets/sheet59.xml" Id="R4d5c51079af04e3e" /><Relationship Type="http://schemas.openxmlformats.org/officeDocument/2006/relationships/worksheet" Target="/xl/worksheets/sheet60.xml" Id="R02a1c0efe67b4edd" /><Relationship Type="http://schemas.openxmlformats.org/officeDocument/2006/relationships/worksheet" Target="/xl/worksheets/sheet61.xml" Id="R6dd4a61894fd4fba" /><Relationship Type="http://schemas.openxmlformats.org/officeDocument/2006/relationships/worksheet" Target="/xl/worksheets/sheet62.xml" Id="R1814f199437644be" /><Relationship Type="http://schemas.openxmlformats.org/officeDocument/2006/relationships/worksheet" Target="/xl/worksheets/sheet63.xml" Id="Rc204fc0d1cd040e5" /><Relationship Type="http://schemas.openxmlformats.org/officeDocument/2006/relationships/worksheet" Target="/xl/worksheets/sheet64.xml" Id="R18bf2341f2cf4c6a" /><Relationship Type="http://schemas.openxmlformats.org/officeDocument/2006/relationships/worksheet" Target="/xl/worksheets/sheet65.xml" Id="R155758d583664be2" /><Relationship Type="http://schemas.openxmlformats.org/officeDocument/2006/relationships/worksheet" Target="/xl/worksheets/sheet66.xml" Id="R11c2d96f918e44cb" /><Relationship Type="http://schemas.openxmlformats.org/officeDocument/2006/relationships/worksheet" Target="/xl/worksheets/sheet67.xml" Id="Rfae763713f354cd7" /><Relationship Type="http://schemas.openxmlformats.org/officeDocument/2006/relationships/worksheet" Target="/xl/worksheets/sheet68.xml" Id="Recca58253d9d4353" /><Relationship Type="http://schemas.openxmlformats.org/officeDocument/2006/relationships/worksheet" Target="/xl/worksheets/sheet69.xml" Id="R146951abe3994031" /><Relationship Type="http://schemas.openxmlformats.org/officeDocument/2006/relationships/worksheet" Target="/xl/worksheets/sheet70.xml" Id="R77e42fd828144992" /><Relationship Type="http://schemas.openxmlformats.org/officeDocument/2006/relationships/worksheet" Target="/xl/worksheets/sheet71.xml" Id="Re696a38e2f7945ac" /><Relationship Type="http://schemas.openxmlformats.org/officeDocument/2006/relationships/worksheet" Target="/xl/worksheets/sheet72.xml" Id="R1d9efc2a33eb42cf" /><Relationship Type="http://schemas.openxmlformats.org/officeDocument/2006/relationships/worksheet" Target="/xl/worksheets/sheet73.xml" Id="Rc472513690344d93" /><Relationship Type="http://schemas.openxmlformats.org/officeDocument/2006/relationships/worksheet" Target="/xl/worksheets/sheet74.xml" Id="R34f31778f7054e23" /><Relationship Type="http://schemas.openxmlformats.org/officeDocument/2006/relationships/worksheet" Target="/xl/worksheets/sheet75.xml" Id="R16f6199178024e27" /><Relationship Type="http://schemas.openxmlformats.org/officeDocument/2006/relationships/worksheet" Target="/xl/worksheets/sheet76.xml" Id="R777f6686260f4b25" /><Relationship Type="http://schemas.openxmlformats.org/officeDocument/2006/relationships/worksheet" Target="/xl/worksheets/sheet77.xml" Id="R9f8278feb7464523" /><Relationship Type="http://schemas.openxmlformats.org/officeDocument/2006/relationships/worksheet" Target="/xl/worksheets/sheet78.xml" Id="R9c58eb2c672d4b1a" /><Relationship Type="http://schemas.openxmlformats.org/officeDocument/2006/relationships/worksheet" Target="/xl/worksheets/sheet79.xml" Id="R71ba2728bdda4c6a" /><Relationship Type="http://schemas.openxmlformats.org/officeDocument/2006/relationships/worksheet" Target="/xl/worksheets/sheet80.xml" Id="R13ee0ebbebff4ac7" /><Relationship Type="http://schemas.openxmlformats.org/officeDocument/2006/relationships/worksheet" Target="/xl/worksheets/sheet81.xml" Id="Raabfddd2428842ee" /><Relationship Type="http://schemas.openxmlformats.org/officeDocument/2006/relationships/worksheet" Target="/xl/worksheets/sheet82.xml" Id="R4e95a019f0ff40e3" /><Relationship Type="http://schemas.openxmlformats.org/officeDocument/2006/relationships/worksheet" Target="/xl/worksheets/sheet83.xml" Id="Ra2a3cad8949940bd" /><Relationship Type="http://schemas.openxmlformats.org/officeDocument/2006/relationships/worksheet" Target="/xl/worksheets/sheet84.xml" Id="R42ed2ecc386e419b" /><Relationship Type="http://schemas.openxmlformats.org/officeDocument/2006/relationships/worksheet" Target="/xl/worksheets/sheet85.xml" Id="Ree3e78fc8e5640a1" /><Relationship Type="http://schemas.openxmlformats.org/officeDocument/2006/relationships/worksheet" Target="/xl/worksheets/sheet86.xml" Id="R7493d3934c454fca" /><Relationship Type="http://schemas.openxmlformats.org/officeDocument/2006/relationships/worksheet" Target="/xl/worksheets/sheet87.xml" Id="R21ffc7f52cfc42e3" /><Relationship Type="http://schemas.openxmlformats.org/officeDocument/2006/relationships/worksheet" Target="/xl/worksheets/sheet88.xml" Id="R9dae62d1015f424e" /><Relationship Type="http://schemas.openxmlformats.org/officeDocument/2006/relationships/worksheet" Target="/xl/worksheets/sheet89.xml" Id="Ra005e4bd9f1e473c" /><Relationship Type="http://schemas.openxmlformats.org/officeDocument/2006/relationships/worksheet" Target="/xl/worksheets/sheet90.xml" Id="R1dd4d3c37fb946f1" /><Relationship Type="http://schemas.openxmlformats.org/officeDocument/2006/relationships/worksheet" Target="/xl/worksheets/sheet91.xml" Id="Rcc327578dab94def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06f92fd68ae24f1b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Ferramentas selecionadas por Gate</a:t>
            </a:r>
          </a:p>
        </c:rich>
      </c:tx>
      <c:overlay val="0"/>
    </c:title>
    <c:autoTitleDeleted val="0"/>
    <c:plotArea>
      <c:layout/>
      <c:barChart>
        <c:barDir val="col"/>
        <c:varyColors val="0"/>
        <c:ser>
          <c:idx val="0"/>
          <c:order val="0"/>
          <c:tx>
            <c:v>Peso do prazo</c:v>
          </c:tx>
          <c:cat>
            <c:strRef>
              <c:f>'02_Cronograma'!$A$14:$A$18</c:f>
              <c:strCache>
                <c:ptCount val="0"/>
              </c:strCache>
            </c:strRef>
          </c:cat>
          <c:val>
            <c:numRef>
              <c:f>'02_Cronograma'!$B$14:$B$18</c:f>
              <c:numCache>
                <c:formatCode>0%</c:formatCode>
                <c:ptCount val="0"/>
              </c:numCache>
            </c:numRef>
          </c:val>
        </c:ser>
        <c:ser>
          <c:idx val="1"/>
          <c:order val="1"/>
          <c:tx>
            <c:v>Ferramentas selecionadas</c:v>
          </c:tx>
          <c:cat>
            <c:strRef>
              <c:f>'02_Cronograma'!$A$14:$A$18</c:f>
              <c:strCache>
                <c:ptCount val="0"/>
              </c:strCache>
            </c:strRef>
          </c:cat>
          <c:val>
            <c:numRef>
              <c:f>'02_Cronograma'!$C$14:$C$18</c:f>
              <c:numCache>
                <c:formatCode/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"/>
        <c:majorTickMark val="none"/>
        <c:minorTickMark val="none"/>
        <c:crossAx val="48650112"/>
        <c:crosses val="autoZero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7</xdr:col>
      <xdr:colOff>0</xdr:colOff>
      <xdr:row>3</xdr:row>
      <xdr:rowOff>0</xdr:rowOff>
    </xdr:from>
    <xdr:to>
      <xdr:col>13</xdr:col>
      <xdr:colOff>0</xdr:colOff>
      <xdr:row>18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06f92fd68ae24f1b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CronogramaGateTable" displayName="CronogramaGateTable" ref="A13:F18" headerRowCount="1">
  <x:tableColumns count="6">
    <x:tableColumn id="1" name="Gate"/>
    <x:tableColumn id="2" name="Peso do prazo"/>
    <x:tableColumn id="3" name="Ferramentas selecionadas"/>
    <x:tableColumn id="4" name="Início"/>
    <x:tableColumn id="5" name="Final"/>
    <x:tableColumn id="6" name="Dias"/>
  </x:tableColumns>
  <x:tableStyleInfo name="TableStyleMedium2" showRowStripes="1"/>
</x:table>
</file>

<file path=xl/tables/table2.xml><?xml version="1.0" encoding="utf-8"?>
<x:table xmlns:x="http://schemas.openxmlformats.org/spreadsheetml/2006/main" id="2" name="CronogramaFerramentasTable" displayName="CronogramaFerramentasTable" ref="A21:M100" headerRowCount="1">
  <x:tableColumns count="13">
    <x:tableColumn id="1" name="Ordem"/>
    <x:tableColumn id="2" name="Código"/>
    <x:tableColumn id="3" name="Gate"/>
    <x:tableColumn id="4" name="Ferramenta"/>
    <x:tableColumn id="5" name="Selecionada"/>
    <x:tableColumn id="6" name="Início previsto"/>
    <x:tableColumn id="7" name="Final previsto"/>
    <x:tableColumn id="8" name="Duração"/>
    <x:tableColumn id="9" name="Responsável"/>
    <x:tableColumn id="10" name="Status"/>
    <x:tableColumn id="11" name="Observação"/>
    <x:tableColumn id="12" name="Total no Gate"/>
    <x:tableColumn id="13" name="Ordem no Gate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91.xml.rels>&#65279;<?xml version="1.0" encoding="utf-8"?><Relationships xmlns="http://schemas.openxmlformats.org/package/2006/relationships"><Relationship Type="http://schemas.openxmlformats.org/officeDocument/2006/relationships/drawing" Target="/xl/drawings/drawing1.xml" Id="Raa9610ffa43547cd" /><Relationship Type="http://schemas.openxmlformats.org/officeDocument/2006/relationships/table" Target="/xl/tables/table1.xml" Id="R75b43ecfdd6747ba" /><Relationship Type="http://schemas.openxmlformats.org/officeDocument/2006/relationships/table" Target="/xl/tables/table2.xml" Id="R8b8e212b712e4d89" /></Relationships>
</file>

<file path=xl/worksheets/sheet1.xml><?xml version="1.0" encoding="utf-8"?>
<x:worksheet xmlns:x="http://schemas.openxmlformats.org/spreadsheetml/2006/main">
  <x:sheetFormatPr defaultRowHeight="15"/>
  <x:cols>
    <x:col min="1" max="1" width="26" hidden="0" customWidth="1"/>
    <x:col min="2" max="2" width="38" hidden="0" customWidth="1"/>
    <x:col min="3" max="3" width="4" hidden="0" customWidth="1"/>
    <x:col min="4" max="4" width="26" hidden="0" customWidth="1"/>
    <x:col min="5" max="5" width="18" hidden="0" customWidth="1"/>
    <x:col min="6" max="6" width="4" hidden="0" customWidth="1"/>
    <x:col min="7" max="7" width="46" hidden="0" customWidth="1"/>
    <x:col min="8" max="8" width="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</x:cols>
  <x:sheetData>
    <x:row r="1">
      <x:c r="A1" s="4" t="str">
        <x:v>Dashboard — Geração de planilha por ferramenta</x:v>
      </x:c>
      <x:c r="B1" s="4"/>
      <x:c r="C1" s="4"/>
      <x:c r="D1" s="4"/>
      <x:c r="E1" s="4"/>
      <x:c r="F1" s="4"/>
      <x:c r="G1" s="4"/>
      <x:c r="H1" s="4"/>
    </x:row>
    <x:row r="2">
      <x:c r="A2" s="11" t="str">
        <x:v>Preencha os campos em branco e/ou cole o código binário de seleção gerado pelo aplicativo.</x:v>
      </x:c>
      <x:c r="B2" s="11"/>
      <x:c r="C2" s="11"/>
      <x:c r="D2" s="11"/>
      <x:c r="E2" s="11"/>
      <x:c r="F2" s="11"/>
      <x:c r="G2" s="11"/>
      <x:c r="H2" s="11"/>
    </x:row>
    <x:row r="3">
      <x:c r="A3" s="36" t="str">
        <x:v>Campo</x:v>
      </x:c>
      <x:c r="B3" s="36" t="str">
        <x:v>Valor</x:v>
      </x:c>
      <x:c r="C3" s="37" t="str"/>
      <x:c r="D3" s="36" t="str">
        <x:v>Indicadores</x:v>
      </x:c>
      <x:c r="E3" s="36" t="str">
        <x:v>Valor</x:v>
      </x:c>
      <x:c r="F3" s="37" t="str"/>
      <x:c r="G3" s="36" t="str">
        <x:v>Instruções</x:v>
      </x:c>
      <x:c r="H3" s="36" t="str"/>
    </x:row>
    <x:row r="4">
      <x:c r="A4" s="37" t="str">
        <x:v>Produto</x:v>
      </x:c>
      <x:c r="B4" s="37" t="str"/>
      <x:c r="C4" s="37" t="str"/>
      <x:c r="D4" s="37" t="str">
        <x:v>Total de ferramentas</x:v>
      </x:c>
      <x:c r="E4" s="37" t="n">
        <x:f>COUNTA(Banco_Ferramentas!A4:A82)</x:f>
        <x:v>79</x:v>
      </x:c>
      <x:c r="F4" s="37" t="str"/>
      <x:c r="G4" s="37" t="str">
        <x:v>Use esta planilha como modelo-mãe.</x:v>
      </x:c>
      <x:c r="H4" s="37" t="str"/>
    </x:row>
    <x:row r="5">
      <x:c r="A5" s="37" t="str">
        <x:v>Código / Projeto</x:v>
      </x:c>
      <x:c r="B5" s="37" t="str"/>
      <x:c r="C5" s="37" t="str"/>
      <x:c r="D5" s="37" t="str">
        <x:v>Ferramentas selecionadas</x:v>
      </x:c>
      <x:c r="E5" s="37" t="n">
        <x:f>SUM(Mapa_Selecao!G4:G82)</x:f>
        <x:v>0</x:v>
      </x:c>
      <x:c r="F5" s="37" t="str"/>
      <x:c r="G5" s="37" t="str">
        <x:v>O aplicativo pode preencher o código binário abaixo.</x:v>
      </x:c>
      <x:c r="H5" s="37" t="str"/>
    </x:row>
    <x:row r="6">
      <x:c r="A6" s="37" t="str">
        <x:v>Responsável</x:v>
      </x:c>
      <x:c r="B6" s="38" t="str"/>
      <x:c r="C6" s="37" t="str"/>
      <x:c r="D6" s="37" t="str">
        <x:v>Gate 1</x:v>
      </x:c>
      <x:c r="E6" s="37" t="n">
        <x:f>COUNTIFS(Mapa_Selecao!B:B,"Gate 1*",Mapa_Selecao!G:G,1)</x:f>
        <x:v>0</x:v>
      </x:c>
      <x:c r="F6" s="37" t="str"/>
      <x:c r="G6" s="37" t="str">
        <x:v>1 = manter aba; 0 = remover/não gerar.</x:v>
      </x:c>
      <x:c r="H6" s="37" t="str"/>
    </x:row>
    <x:row r="7">
      <x:c r="A7" s="37" t="str">
        <x:v>Data</x:v>
      </x:c>
      <x:c r="B7" s="37" t="n">
        <x:v>46145.50812614583</x:v>
      </x:c>
      <x:c r="C7" s="37" t="str"/>
      <x:c r="D7" s="37" t="str">
        <x:v>Gate 2</x:v>
      </x:c>
      <x:c r="E7" s="37" t="n">
        <x:f>COUNTIFS(Mapa_Selecao!B:B,"Gate 2*",Mapa_Selecao!G:G,1)</x:f>
        <x:v>0</x:v>
      </x:c>
      <x:c r="F7" s="37" t="str"/>
      <x:c r="G7" s="37" t="str">
        <x:v>O Mapa_Selecao aceita override manual.</x:v>
      </x:c>
      <x:c r="H7" s="37" t="str"/>
    </x:row>
    <x:row r="8">
      <x:c r="A8" s="37" t="str">
        <x:v>Rota do produto</x:v>
      </x:c>
      <x:c r="B8" s="37" t="str"/>
      <x:c r="C8" s="37" t="str"/>
      <x:c r="D8" s="37" t="str">
        <x:v>Gate 3</x:v>
      </x:c>
      <x:c r="E8" s="37" t="n">
        <x:f>COUNTIFS(Mapa_Selecao!B:B,"Gate 3*",Mapa_Selecao!G:G,1)</x:f>
        <x:v>0</x:v>
      </x:c>
      <x:c r="F8" s="37" t="str"/>
      <x:c r="G8" s="37" t="str"/>
      <x:c r="H8" s="37" t="str"/>
    </x:row>
    <x:row r="9">
      <x:c r="A9" s="37" t="str">
        <x:v>Classe regulatória</x:v>
      </x:c>
      <x:c r="B9" s="37" t="str"/>
      <x:c r="C9" s="37" t="str"/>
      <x:c r="D9" s="37" t="str">
        <x:v>Gate 4</x:v>
      </x:c>
      <x:c r="E9" s="37" t="n">
        <x:f>COUNTIFS(Mapa_Selecao!B:B,"Gate 4*",Mapa_Selecao!G:G,1)</x:f>
        <x:v>0</x:v>
      </x:c>
      <x:c r="F9" s="37" t="str"/>
      <x:c r="G9" s="37" t="str"/>
      <x:c r="H9" s="37" t="str"/>
    </x:row>
    <x:row r="10">
      <x:c r="A10" s="37" t="str">
        <x:v>Complexidade</x:v>
      </x:c>
      <x:c r="B10" s="37" t="str"/>
      <x:c r="C10" s="37" t="str"/>
      <x:c r="D10" s="37" t="str">
        <x:v>Gate 5</x:v>
      </x:c>
      <x:c r="E10" s="37" t="n">
        <x:f>COUNTIFS(Mapa_Selecao!B:B,"Gate 5*",Mapa_Selecao!G:G,1)</x:f>
        <x:v>0</x:v>
      </x:c>
      <x:c r="F10" s="37" t="str"/>
      <x:c r="G10" s="37" t="str"/>
      <x:c r="H10" s="37" t="str"/>
    </x:row>
    <x:row r="11">
      <x:c r="A11" s="37" t="str">
        <x:v>Status</x:v>
      </x:c>
      <x:c r="B11" s="37" t="str">
        <x:v>Modelo-mãe</x:v>
      </x:c>
      <x:c r="C11" s="37" t="str"/>
      <x:c r="D11" s="37" t="str"/>
      <x:c r="E11" s="37" t="str"/>
      <x:c r="F11" s="37" t="str"/>
      <x:c r="G11" s="37" t="str"/>
      <x:c r="H11" s="37" t="str"/>
    </x:row>
    <x:row r="12">
      <x:c r="A12" s="37" t="str"/>
      <x:c r="B12" s="37" t="str"/>
      <x:c r="C12" s="37" t="str"/>
      <x:c r="D12" s="37" t="str"/>
      <x:c r="E12" s="37" t="str"/>
      <x:c r="F12" s="37" t="str"/>
      <x:c r="G12" s="37" t="str"/>
      <x:c r="H12" s="37" t="str"/>
    </x:row>
    <x:row r="13">
      <x:c r="A13" s="39" t="str">
        <x:v>Código binário de seleção</x:v>
      </x:c>
      <x:c r="B13" s="40" t="str">
        <x:v>0000000000000000000000000000000000000000000000000000000000000000000000000000000</x:v>
      </x:c>
      <x:c r="C13" s="39" t="str"/>
      <x:c r="D13" s="39" t="str"/>
      <x:c r="E13" s="39" t="str"/>
      <x:c r="F13" s="39" t="str"/>
      <x:c r="G13" s="39" t="str">
        <x:v>Cole aqui uma sequência 0/1 com 79 posições.</x:v>
      </x:c>
      <x:c r="H13" s="39" t="str"/>
    </x:row>
    <x:row r="14">
      <x:c r="A14" s="39" t="str">
        <x:v>Exemplo de uso</x:v>
      </x:c>
      <x:c r="B14" s="39" t="str">
        <x:v>111000...</x:v>
      </x:c>
      <x:c r="C14" s="39" t="str"/>
      <x:c r="D14" s="39" t="str"/>
      <x:c r="E14" s="39" t="str"/>
      <x:c r="F14" s="39" t="str"/>
      <x:c r="G14" s="39" t="str">
        <x:v>A posição 1 corresponde à ferramenta 1 no Banco_Ferramentas.</x:v>
      </x:c>
      <x:c r="H14" s="39" t="str"/>
    </x:row>
    <x:row r="16">
      <x:c r="A16" s="133" t="str">
        <x:v>Cronograma: preencha as datas na aba 02_Cronograma para distribuir automaticamente os prazos por Gate e ferramenta.</x:v>
      </x:c>
    </x:row>
  </x:sheetData>
  <x:mergeCells>
    <x:mergeCell ref="A1:H1"/>
    <x:mergeCell ref="A2:H2"/>
    <x:mergeCell ref="A16:G16"/>
  </x:mergeCells>
  <x:dataValidations count="4">
    <x:dataValidation type="list" sqref="B7">
      <x:formula1>"Revenda simples,OEM / white label,Adaptação,Produto similar,Kit ou acessório,Internalização,Inovação incremental,Inovação radical,Classe IV / alta incerteza"</x:formula1>
    </x:dataValidation>
    <x:dataValidation type="list" sqref="B8">
      <x:formula1>"Classe I,Classe II,Classe III,Classe IV,Não definida"</x:formula1>
    </x:dataValidation>
    <x:dataValidation type="list" sqref="B9">
      <x:formula1>"Baixa,Média,Alta,Muito alta"</x:formula1>
    </x:dataValidation>
    <x:dataValidation type="list" sqref="B10">
      <x:formula1>"Modelo-mãe,Em preenchimento,Em revisão,Aprovado"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9" hidden="0" customWidth="1"/>
    <x:col min="2" max="2" width="16" hidden="0" customWidth="1"/>
    <x:col min="3" max="3" width="32" hidden="0" customWidth="1"/>
    <x:col min="4" max="4" width="38" hidden="0" customWidth="1"/>
    <x:col min="5" max="5" width="22" hidden="0" customWidth="1"/>
    <x:col min="6" max="6" width="50" hidden="0" customWidth="1"/>
    <x:col min="7" max="7" width="20" hidden="0" customWidth="1"/>
    <x:col min="8" max="8" width="16" hidden="0" customWidth="1"/>
    <x:col min="9" max="9" width="12" hidden="0" customWidth="1"/>
    <x:col min="10" max="10" width="18" hidden="0" customWidth="1"/>
    <x:col min="11" max="11" width="18" hidden="0" customWidth="1"/>
    <x:col min="12" max="12" width="18" hidden="0" customWidth="1"/>
  </x:cols>
  <x:sheetData>
    <x:row r="1">
      <x:c r="A1" s="4" t="str">
        <x:v>Banco de ferramentas — ciclo de conceito</x:v>
      </x:c>
      <x:c r="B1" s="4"/>
      <x:c r="C1" s="4"/>
      <x:c r="D1" s="4"/>
      <x:c r="E1" s="4"/>
      <x:c r="F1" s="4"/>
      <x:c r="G1" s="4"/>
      <x:c r="H1" s="4"/>
      <x:c r="I1" s="4"/>
    </x:row>
    <x:row r="2">
      <x:c r="A2" s="11" t="str">
        <x:v>Lista completa com 79 ferramentas principais por Gate.</x:v>
      </x:c>
      <x:c r="B2" s="11"/>
      <x:c r="C2" s="11"/>
      <x:c r="D2" s="11"/>
      <x:c r="E2" s="11"/>
      <x:c r="F2" s="11"/>
      <x:c r="G2" s="11"/>
      <x:c r="H2" s="11"/>
      <x:c r="I2" s="11"/>
    </x:row>
    <x:row r="3">
      <x:c r="A3" s="20" t="str">
        <x:v>Ordem</x:v>
      </x:c>
      <x:c r="B3" s="20" t="str">
        <x:v>Código</x:v>
      </x:c>
      <x:c r="C3" s="20" t="str">
        <x:v>Gate</x:v>
      </x:c>
      <x:c r="D3" s="20" t="str">
        <x:v>Ferramenta</x:v>
      </x:c>
      <x:c r="E3" s="20" t="str">
        <x:v>Categoria</x:v>
      </x:c>
      <x:c r="F3" s="20" t="str">
        <x:v>Propósito</x:v>
      </x:c>
      <x:c r="G3" s="20" t="str">
        <x:v>Tipo de template</x:v>
      </x:c>
      <x:c r="H3" s="20" t="str">
        <x:v>Aba</x:v>
      </x:c>
      <x:c r="I3" s="20" t="str">
        <x:v>Selecionada</x:v>
      </x:c>
    </x:row>
    <x:row r="4">
      <x:c r="A4" s="32" t="n">
        <x:v>1</x:v>
      </x:c>
      <x:c r="B4" s="32" t="str">
        <x:v>G1_DECL</x:v>
      </x:c>
      <x:c r="C4" s="32" t="str">
        <x:v>Gate 1 — Oportunidade e Necessidade</x:v>
      </x:c>
      <x:c r="D4" s="32" t="str">
        <x:v>Declaração da oportunidade</x:v>
      </x:c>
      <x:c r="E4" s="32" t="str">
        <x:v>Base</x:v>
      </x:c>
      <x:c r="F4" s="32" t="str">
        <x:v>Descrever problema, origem e hipótese inicial</x:v>
      </x:c>
      <x:c r="G4" s="32" t="str">
        <x:v>generic</x:v>
      </x:c>
      <x:c r="H4" s="32" t="str">
        <x:v>G1_DECL</x:v>
      </x:c>
      <x:c r="I4" s="32" t="n">
        <x:f>XLOOKUP(B4,Mapa_Selecao!$A:$A,Mapa_Selecao!$G:$G,0)</x:f>
        <x:v>0</x:v>
      </x:c>
    </x:row>
    <x:row r="5">
      <x:c r="A5" s="32" t="n">
        <x:v>2</x:v>
      </x:c>
      <x:c r="B5" s="32" t="str">
        <x:v>G1_5W2H</x:v>
      </x:c>
      <x:c r="C5" s="32" t="str">
        <x:v>Gate 1 — Oportunidade e Necessidade</x:v>
      </x:c>
      <x:c r="D5" s="32" t="str">
        <x:v>5W2H da oportunidade</x:v>
      </x:c>
      <x:c r="E5" s="32" t="str">
        <x:v>Base</x:v>
      </x:c>
      <x:c r="F5" s="32" t="str">
        <x:v>Organizar informações básicas da ideia</x:v>
      </x:c>
      <x:c r="G5" s="32" t="str">
        <x:v>5w2h</x:v>
      </x:c>
      <x:c r="H5" s="32" t="str">
        <x:v>G1_5W2H</x:v>
      </x:c>
      <x:c r="I5" s="32" t="n">
        <x:f>XLOOKUP(B5,Mapa_Selecao!$A:$A,Mapa_Selecao!$G:$G,0)</x:f>
        <x:v>0</x:v>
      </x:c>
    </x:row>
    <x:row r="6">
      <x:c r="A6" s="32" t="n">
        <x:v>3</x:v>
      </x:c>
      <x:c r="B6" s="32" t="str">
        <x:v>G1_STAKE</x:v>
      </x:c>
      <x:c r="C6" s="32" t="str">
        <x:v>Gate 1 — Oportunidade e Necessidade</x:v>
      </x:c>
      <x:c r="D6" s="32" t="str">
        <x:v>Mapa de stakeholders</x:v>
      </x:c>
      <x:c r="E6" s="32" t="str">
        <x:v>Base</x:v>
      </x:c>
      <x:c r="F6" s="32" t="str">
        <x:v>Identificar usuário, cliente, paciente e influenciadores</x:v>
      </x:c>
      <x:c r="G6" s="32" t="str">
        <x:v>stakeholder</x:v>
      </x:c>
      <x:c r="H6" s="32" t="str">
        <x:v>G1_STAKE</x:v>
      </x:c>
      <x:c r="I6" s="32" t="n">
        <x:f>XLOOKUP(B6,Mapa_Selecao!$A:$A,Mapa_Selecao!$G:$G,0)</x:f>
        <x:v>0</x:v>
      </x:c>
    </x:row>
    <x:row r="7">
      <x:c r="A7" s="32" t="n">
        <x:v>4</x:v>
      </x:c>
      <x:c r="B7" s="32" t="str">
        <x:v>G1_VOC</x:v>
      </x:c>
      <x:c r="C7" s="32" t="str">
        <x:v>Gate 1 — Oportunidade e Necessidade</x:v>
      </x:c>
      <x:c r="D7" s="32" t="str">
        <x:v>VOC inicial</x:v>
      </x:c>
      <x:c r="E7" s="32" t="str">
        <x:v>Necessidade</x:v>
      </x:c>
      <x:c r="F7" s="32" t="str">
        <x:v>Capturar percepção inicial do usuário ou cliente</x:v>
      </x:c>
      <x:c r="G7" s="32" t="str">
        <x:v>voc</x:v>
      </x:c>
      <x:c r="H7" s="32" t="str">
        <x:v>G1_VOC</x:v>
      </x:c>
      <x:c r="I7" s="32" t="n">
        <x:f>XLOOKUP(B7,Mapa_Selecao!$A:$A,Mapa_Selecao!$G:$G,0)</x:f>
        <x:v>0</x:v>
      </x:c>
    </x:row>
    <x:row r="8">
      <x:c r="A8" s="32" t="n">
        <x:v>5</x:v>
      </x:c>
      <x:c r="B8" s="32" t="str">
        <x:v>G1_KOL</x:v>
      </x:c>
      <x:c r="C8" s="32" t="str">
        <x:v>Gate 1 — Oportunidade e Necessidade</x:v>
      </x:c>
      <x:c r="D8" s="32" t="str">
        <x:v>Entrevistas com usuários/KOL</x:v>
      </x:c>
      <x:c r="E8" s="32" t="str">
        <x:v>Necessidade</x:v>
      </x:c>
      <x:c r="F8" s="32" t="str">
        <x:v>Validar dor clínica, técnica ou comercial</x:v>
      </x:c>
      <x:c r="G8" s="32" t="str">
        <x:v>interview</x:v>
      </x:c>
      <x:c r="H8" s="32" t="str">
        <x:v>G1_KOL</x:v>
      </x:c>
      <x:c r="I8" s="32" t="n">
        <x:f>XLOOKUP(B8,Mapa_Selecao!$A:$A,Mapa_Selecao!$G:$G,0)</x:f>
        <x:v>0</x:v>
      </x:c>
    </x:row>
    <x:row r="9">
      <x:c r="A9" s="32" t="n">
        <x:v>6</x:v>
      </x:c>
      <x:c r="B9" s="32" t="str">
        <x:v>G1_CAMPO</x:v>
      </x:c>
      <x:c r="C9" s="32" t="str">
        <x:v>Gate 1 — Oportunidade e Necessidade</x:v>
      </x:c>
      <x:c r="D9" s="32" t="str">
        <x:v>Observação em campo</x:v>
      </x:c>
      <x:c r="E9" s="32" t="str">
        <x:v>Necessidade</x:v>
      </x:c>
      <x:c r="F9" s="32" t="str">
        <x:v>Entender o uso real e contexto prático</x:v>
      </x:c>
      <x:c r="G9" s="32" t="str">
        <x:v>field</x:v>
      </x:c>
      <x:c r="H9" s="32" t="str">
        <x:v>G1_CAMPO</x:v>
      </x:c>
      <x:c r="I9" s="32" t="n">
        <x:f>XLOOKUP(B9,Mapa_Selecao!$A:$A,Mapa_Selecao!$G:$G,0)</x:f>
        <x:v>0</x:v>
      </x:c>
    </x:row>
    <x:row r="10">
      <x:c r="A10" s="32" t="n">
        <x:v>7</x:v>
      </x:c>
      <x:c r="B10" s="32" t="str">
        <x:v>G1_GAP</x:v>
      </x:c>
      <x:c r="C10" s="32" t="str">
        <x:v>Gate 1 — Oportunidade e Necessidade</x:v>
      </x:c>
      <x:c r="D10" s="32" t="str">
        <x:v>Gap Analysis</x:v>
      </x:c>
      <x:c r="E10" s="32" t="str">
        <x:v>Oportunidade</x:v>
      </x:c>
      <x:c r="F10" s="32" t="str">
        <x:v>Comparar situação atual e situação desejada</x:v>
      </x:c>
      <x:c r="G10" s="32" t="str">
        <x:v>gap</x:v>
      </x:c>
      <x:c r="H10" s="32" t="str">
        <x:v>G1_GAP</x:v>
      </x:c>
      <x:c r="I10" s="32" t="n">
        <x:f>XLOOKUP(B10,Mapa_Selecao!$A:$A,Mapa_Selecao!$G:$G,0)</x:f>
        <x:v>0</x:v>
      </x:c>
    </x:row>
    <x:row r="11">
      <x:c r="A11" s="32" t="n">
        <x:v>8</x:v>
      </x:c>
      <x:c r="B11" s="32" t="str">
        <x:v>G1_BENCH</x:v>
      </x:c>
      <x:c r="C11" s="32" t="str">
        <x:v>Gate 1 — Oportunidade e Necessidade</x:v>
      </x:c>
      <x:c r="D11" s="32" t="str">
        <x:v>Benchmarking preliminar</x:v>
      </x:c>
      <x:c r="E11" s="32" t="str">
        <x:v>Mercado</x:v>
      </x:c>
      <x:c r="F11" s="32" t="str">
        <x:v>Ver soluções existentes ou similares</x:v>
      </x:c>
      <x:c r="G11" s="32" t="str">
        <x:v>benchmark</x:v>
      </x:c>
      <x:c r="H11" s="32" t="str">
        <x:v>G1_BENCH</x:v>
      </x:c>
      <x:c r="I11" s="32" t="n">
        <x:f>XLOOKUP(B11,Mapa_Selecao!$A:$A,Mapa_Selecao!$G:$G,0)</x:f>
        <x:v>0</x:v>
      </x:c>
    </x:row>
    <x:row r="12">
      <x:c r="A12" s="32" t="n">
        <x:v>9</x:v>
      </x:c>
      <x:c r="B12" s="32" t="str">
        <x:v>G1_VALOR</x:v>
      </x:c>
      <x:c r="C12" s="32" t="str">
        <x:v>Gate 1 — Oportunidade e Necessidade</x:v>
      </x:c>
      <x:c r="D12" s="32" t="str">
        <x:v>Proposta de valor inicial</x:v>
      </x:c>
      <x:c r="E12" s="32" t="str">
        <x:v>Mercado</x:v>
      </x:c>
      <x:c r="F12" s="32" t="str">
        <x:v>Definir benefício esperado da solução</x:v>
      </x:c>
      <x:c r="G12" s="32" t="str">
        <x:v>value</x:v>
      </x:c>
      <x:c r="H12" s="32" t="str">
        <x:v>G1_VALOR</x:v>
      </x:c>
      <x:c r="I12" s="32" t="n">
        <x:f>XLOOKUP(B12,Mapa_Selecao!$A:$A,Mapa_Selecao!$G:$G,0)</x:f>
        <x:v>0</x:v>
      </x:c>
    </x:row>
    <x:row r="13">
      <x:c r="A13" s="32" t="n">
        <x:v>10</x:v>
      </x:c>
      <x:c r="B13" s="32" t="str">
        <x:v>G1_RVV</x:v>
      </x:c>
      <x:c r="C13" s="32" t="str">
        <x:v>Gate 1 — Oportunidade e Necessidade</x:v>
      </x:c>
      <x:c r="D13" s="32" t="str">
        <x:v>Real, Vencível, Vale a pena</x:v>
      </x:c>
      <x:c r="E13" s="32" t="str">
        <x:v>Decisão</x:v>
      </x:c>
      <x:c r="F13" s="32" t="str">
        <x:v>Avaliar atratividade inicial da oportunidade</x:v>
      </x:c>
      <x:c r="G13" s="32" t="str">
        <x:v>rvv</x:v>
      </x:c>
      <x:c r="H13" s="32" t="str">
        <x:v>G1_RVV</x:v>
      </x:c>
      <x:c r="I13" s="32" t="n">
        <x:f>XLOOKUP(B13,Mapa_Selecao!$A:$A,Mapa_Selecao!$G:$G,0)</x:f>
        <x:v>0</x:v>
      </x:c>
    </x:row>
    <x:row r="14">
      <x:c r="A14" s="32" t="n">
        <x:v>11</x:v>
      </x:c>
      <x:c r="B14" s="32" t="str">
        <x:v>G1_INCERT</x:v>
      </x:c>
      <x:c r="C14" s="32" t="str">
        <x:v>Gate 1 — Oportunidade e Necessidade</x:v>
      </x:c>
      <x:c r="D14" s="32" t="str">
        <x:v>Mapa inicial de incertezas</x:v>
      </x:c>
      <x:c r="E14" s="32" t="str">
        <x:v>Incerteza</x:v>
      </x:c>
      <x:c r="F14" s="32" t="str">
        <x:v>Registrar dúvidas sem bloquear a ideia</x:v>
      </x:c>
      <x:c r="G14" s="32" t="str">
        <x:v>uncertainty</x:v>
      </x:c>
      <x:c r="H14" s="32" t="str">
        <x:v>G1_INCERT</x:v>
      </x:c>
      <x:c r="I14" s="32" t="n">
        <x:f>XLOOKUP(B14,Mapa_Selecao!$A:$A,Mapa_Selecao!$G:$G,0)</x:f>
        <x:v>0</x:v>
      </x:c>
    </x:row>
    <x:row r="15">
      <x:c r="A15" s="32" t="n">
        <x:v>12</x:v>
      </x:c>
      <x:c r="B15" s="32" t="str">
        <x:v>G1_GONOGO</x:v>
      </x:c>
      <x:c r="C15" s="32" t="str">
        <x:v>Gate 1 — Oportunidade e Necessidade</x:v>
      </x:c>
      <x:c r="D15" s="32" t="str">
        <x:v>Matriz Go/No-Go — Gate 1</x:v>
      </x:c>
      <x:c r="E15" s="32" t="str">
        <x:v>Decisão</x:v>
      </x:c>
      <x:c r="F15" s="32" t="str">
        <x:v>Decidir se avança para estratégia conceitual</x:v>
      </x:c>
      <x:c r="G15" s="32" t="str">
        <x:v>gonogo</x:v>
      </x:c>
      <x:c r="H15" s="32" t="str">
        <x:v>G1_GONOGO</x:v>
      </x:c>
      <x:c r="I15" s="32" t="n">
        <x:f>XLOOKUP(B15,Mapa_Selecao!$A:$A,Mapa_Selecao!$G:$G,0)</x:f>
        <x:v>0</x:v>
      </x:c>
    </x:row>
    <x:row r="16">
      <x:c r="A16" s="32" t="n">
        <x:v>13</x:v>
      </x:c>
      <x:c r="B16" s="32" t="str">
        <x:v>G2_ROTA</x:v>
      </x:c>
      <x:c r="C16" s="32" t="str">
        <x:v>Gate 2 — Estratégia e Requisitos</x:v>
      </x:c>
      <x:c r="D16" s="32" t="str">
        <x:v>Classificação da rota de desenvolvimento</x:v>
      </x:c>
      <x:c r="E16" s="32" t="str">
        <x:v>Estratégia</x:v>
      </x:c>
      <x:c r="F16" s="32" t="str">
        <x:v>Identificar OEM, adaptação, inovação, kit etc.</x:v>
      </x:c>
      <x:c r="G16" s="32" t="str">
        <x:v>route</x:v>
      </x:c>
      <x:c r="H16" s="32" t="str">
        <x:v>G2_ROTA</x:v>
      </x:c>
      <x:c r="I16" s="32" t="n">
        <x:f>XLOOKUP(B16,Mapa_Selecao!$A:$A,Mapa_Selecao!$G:$G,0)</x:f>
        <x:v>0</x:v>
      </x:c>
    </x:row>
    <x:row r="17">
      <x:c r="A17" s="32" t="n">
        <x:v>14</x:v>
      </x:c>
      <x:c r="B17" s="32" t="str">
        <x:v>G2_NECESS</x:v>
      </x:c>
      <x:c r="C17" s="32" t="str">
        <x:v>Gate 2 — Estratégia e Requisitos</x:v>
      </x:c>
      <x:c r="D17" s="32" t="str">
        <x:v>Lista de necessidades do usuário</x:v>
      </x:c>
      <x:c r="E17" s="32" t="str">
        <x:v>Requisitos</x:v>
      </x:c>
      <x:c r="F17" s="32" t="str">
        <x:v>Consolidar necessidades levantadas</x:v>
      </x:c>
      <x:c r="G17" s="32" t="str">
        <x:v>needs</x:v>
      </x:c>
      <x:c r="H17" s="32" t="str">
        <x:v>G2_NECESS</x:v>
      </x:c>
      <x:c r="I17" s="32" t="n">
        <x:f>XLOOKUP(B17,Mapa_Selecao!$A:$A,Mapa_Selecao!$G:$G,0)</x:f>
        <x:v>0</x:v>
      </x:c>
    </x:row>
    <x:row r="18">
      <x:c r="A18" s="32" t="n">
        <x:v>15</x:v>
      </x:c>
      <x:c r="B18" s="32" t="str">
        <x:v>G2_PRIOR</x:v>
      </x:c>
      <x:c r="C18" s="32" t="str">
        <x:v>Gate 2 — Estratégia e Requisitos</x:v>
      </x:c>
      <x:c r="D18" s="32" t="str">
        <x:v>Priorização de necessidades</x:v>
      </x:c>
      <x:c r="E18" s="32" t="str">
        <x:v>Requisitos</x:v>
      </x:c>
      <x:c r="F18" s="32" t="str">
        <x:v>Definir o que é mais importante</x:v>
      </x:c>
      <x:c r="G18" s="32" t="str">
        <x:v>prioritization</x:v>
      </x:c>
      <x:c r="H18" s="32" t="str">
        <x:v>G2_PRIOR</x:v>
      </x:c>
      <x:c r="I18" s="32" t="n">
        <x:f>XLOOKUP(B18,Mapa_Selecao!$A:$A,Mapa_Selecao!$G:$G,0)</x:f>
        <x:v>0</x:v>
      </x:c>
    </x:row>
    <x:row r="19">
      <x:c r="A19" s="32" t="n">
        <x:v>16</x:v>
      </x:c>
      <x:c r="B19" s="32" t="str">
        <x:v>G2_USO</x:v>
      </x:c>
      <x:c r="C19" s="32" t="str">
        <x:v>Gate 2 — Estratégia e Requisitos</x:v>
      </x:c>
      <x:c r="D19" s="32" t="str">
        <x:v>Uso pretendido preliminar</x:v>
      </x:c>
      <x:c r="E19" s="32" t="str">
        <x:v>Regulatório</x:v>
      </x:c>
      <x:c r="F19" s="32" t="str">
        <x:v>Definir finalidade clínica inicial</x:v>
      </x:c>
      <x:c r="G19" s="32" t="str">
        <x:v>intended_use</x:v>
      </x:c>
      <x:c r="H19" s="32" t="str">
        <x:v>G2_USO</x:v>
      </x:c>
      <x:c r="I19" s="32" t="n">
        <x:f>XLOOKUP(B19,Mapa_Selecao!$A:$A,Mapa_Selecao!$G:$G,0)</x:f>
        <x:v>0</x:v>
      </x:c>
    </x:row>
    <x:row r="20">
      <x:c r="A20" s="32" t="n">
        <x:v>17</x:v>
      </x:c>
      <x:c r="B20" s="32" t="str">
        <x:v>G2_USERAMB</x:v>
      </x:c>
      <x:c r="C20" s="32" t="str">
        <x:v>Gate 2 — Estratégia e Requisitos</x:v>
      </x:c>
      <x:c r="D20" s="32" t="str">
        <x:v>Perfil de usuário e ambiente</x:v>
      </x:c>
      <x:c r="E20" s="32" t="str">
        <x:v>Regulatório</x:v>
      </x:c>
      <x:c r="F20" s="32" t="str">
        <x:v>Identificar quem usa e onde usa</x:v>
      </x:c>
      <x:c r="G20" s="32" t="str">
        <x:v>user_env</x:v>
      </x:c>
      <x:c r="H20" s="32" t="str">
        <x:v>G2_USERAMB</x:v>
      </x:c>
      <x:c r="I20" s="32" t="n">
        <x:f>XLOOKUP(B20,Mapa_Selecao!$A:$A,Mapa_Selecao!$G:$G,0)</x:f>
        <x:v>0</x:v>
      </x:c>
    </x:row>
    <x:row r="21">
      <x:c r="A21" s="32" t="n">
        <x:v>18</x:v>
      </x:c>
      <x:c r="B21" s="32" t="str">
        <x:v>G2_QFD</x:v>
      </x:c>
      <x:c r="C21" s="32" t="str">
        <x:v>Gate 2 — Estratégia e Requisitos</x:v>
      </x:c>
      <x:c r="D21" s="32" t="str">
        <x:v>QFD conceitual — nível 1</x:v>
      </x:c>
      <x:c r="E21" s="32" t="str">
        <x:v>Requisitos</x:v>
      </x:c>
      <x:c r="F21" s="32" t="str">
        <x:v>Traduzir necessidades em requisitos conceituais</x:v>
      </x:c>
      <x:c r="G21" s="32" t="str">
        <x:v>qfd</x:v>
      </x:c>
      <x:c r="H21" s="32" t="str">
        <x:v>G2_QFD</x:v>
      </x:c>
      <x:c r="I21" s="32" t="n">
        <x:f>XLOOKUP(B21,Mapa_Selecao!$A:$A,Mapa_Selecao!$G:$G,0)</x:f>
        <x:v>0</x:v>
      </x:c>
    </x:row>
    <x:row r="22">
      <x:c r="A22" s="32" t="n">
        <x:v>19</x:v>
      </x:c>
      <x:c r="B22" s="32" t="str">
        <x:v>G2_CTQ</x:v>
      </x:c>
      <x:c r="C22" s="32" t="str">
        <x:v>Gate 2 — Estratégia e Requisitos</x:v>
      </x:c>
      <x:c r="D22" s="32" t="str">
        <x:v>CTQ preliminar</x:v>
      </x:c>
      <x:c r="E22" s="32" t="str">
        <x:v>Requisitos</x:v>
      </x:c>
      <x:c r="F22" s="32" t="str">
        <x:v>Definir atributos críticos para o conceito</x:v>
      </x:c>
      <x:c r="G22" s="32" t="str">
        <x:v>ctq</x:v>
      </x:c>
      <x:c r="H22" s="32" t="str">
        <x:v>G2_CTQ</x:v>
      </x:c>
      <x:c r="I22" s="32" t="n">
        <x:f>XLOOKUP(B22,Mapa_Selecao!$A:$A,Mapa_Selecao!$G:$G,0)</x:f>
        <x:v>0</x:v>
      </x:c>
    </x:row>
    <x:row r="23">
      <x:c r="A23" s="32" t="n">
        <x:v>20</x:v>
      </x:c>
      <x:c r="B23" s="32" t="str">
        <x:v>G2_OEM</x:v>
      </x:c>
      <x:c r="C23" s="32" t="str">
        <x:v>Gate 2 — Estratégia e Requisitos</x:v>
      </x:c>
      <x:c r="D23" s="32" t="str">
        <x:v>Triagem OEM / produto de mercado</x:v>
      </x:c>
      <x:c r="E23" s="32" t="str">
        <x:v>Triagem</x:v>
      </x:c>
      <x:c r="F23" s="32" t="str">
        <x:v>Ver se produto existente atende oportunidade</x:v>
      </x:c>
      <x:c r="G23" s="32" t="str">
        <x:v>oem_screen</x:v>
      </x:c>
      <x:c r="H23" s="32" t="str">
        <x:v>G2_OEM</x:v>
      </x:c>
      <x:c r="I23" s="32" t="n">
        <x:f>XLOOKUP(B23,Mapa_Selecao!$A:$A,Mapa_Selecao!$G:$G,0)</x:f>
        <x:v>0</x:v>
      </x:c>
    </x:row>
    <x:row r="24">
      <x:c r="A24" s="32" t="n">
        <x:v>21</x:v>
      </x:c>
      <x:c r="B24" s="32" t="str">
        <x:v>G2_FORN</x:v>
      </x:c>
      <x:c r="C24" s="32" t="str">
        <x:v>Gate 2 — Estratégia e Requisitos</x:v>
      </x:c>
      <x:c r="D24" s="32" t="str">
        <x:v>Triagem de fornecedor externo</x:v>
      </x:c>
      <x:c r="E24" s="32" t="str">
        <x:v>Triagem</x:v>
      </x:c>
      <x:c r="F24" s="32" t="str">
        <x:v>Identificar dependência de fornecedor</x:v>
      </x:c>
      <x:c r="G24" s="32" t="str">
        <x:v>supplier_screen</x:v>
      </x:c>
      <x:c r="H24" s="32" t="str">
        <x:v>G2_FORN</x:v>
      </x:c>
      <x:c r="I24" s="32" t="n">
        <x:f>XLOOKUP(B24,Mapa_Selecao!$A:$A,Mapa_Selecao!$G:$G,0)</x:f>
        <x:v>0</x:v>
      </x:c>
    </x:row>
    <x:row r="25">
      <x:c r="A25" s="32" t="n">
        <x:v>22</x:v>
      </x:c>
      <x:c r="B25" s="32" t="str">
        <x:v>G2_CUSTOM</x:v>
      </x:c>
      <x:c r="C25" s="32" t="str">
        <x:v>Gate 2 — Estratégia e Requisitos</x:v>
      </x:c>
      <x:c r="D25" s="32" t="str">
        <x:v>Triagem de customização</x:v>
      </x:c>
      <x:c r="E25" s="32" t="str">
        <x:v>Triagem</x:v>
      </x:c>
      <x:c r="F25" s="32" t="str">
        <x:v>Ver se haverá alteração documental/técnica</x:v>
      </x:c>
      <x:c r="G25" s="32" t="str">
        <x:v>custom_screen</x:v>
      </x:c>
      <x:c r="H25" s="32" t="str">
        <x:v>G2_CUSTOM</x:v>
      </x:c>
      <x:c r="I25" s="32" t="n">
        <x:f>XLOOKUP(B25,Mapa_Selecao!$A:$A,Mapa_Selecao!$G:$G,0)</x:f>
        <x:v>0</x:v>
      </x:c>
    </x:row>
    <x:row r="26">
      <x:c r="A26" s="32" t="n">
        <x:v>23</x:v>
      </x:c>
      <x:c r="B26" s="32" t="str">
        <x:v>G2_SIMILAR</x:v>
      </x:c>
      <x:c r="C26" s="32" t="str">
        <x:v>Gate 2 — Estratégia e Requisitos</x:v>
      </x:c>
      <x:c r="D26" s="32" t="str">
        <x:v>Triagem de produto similar</x:v>
      </x:c>
      <x:c r="E26" s="32" t="str">
        <x:v>Triagem</x:v>
      </x:c>
      <x:c r="F26" s="32" t="str">
        <x:v>Avaliar referência existente</x:v>
      </x:c>
      <x:c r="G26" s="32" t="str">
        <x:v>similar_screen</x:v>
      </x:c>
      <x:c r="H26" s="32" t="str">
        <x:v>G2_SIMILAR</x:v>
      </x:c>
      <x:c r="I26" s="32" t="n">
        <x:f>XLOOKUP(B26,Mapa_Selecao!$A:$A,Mapa_Selecao!$G:$G,0)</x:f>
        <x:v>0</x:v>
      </x:c>
    </x:row>
    <x:row r="27">
      <x:c r="A27" s="32" t="n">
        <x:v>24</x:v>
      </x:c>
      <x:c r="B27" s="32" t="str">
        <x:v>G2_KIT</x:v>
      </x:c>
      <x:c r="C27" s="32" t="str">
        <x:v>Gate 2 — Estratégia e Requisitos</x:v>
      </x:c>
      <x:c r="D27" s="32" t="str">
        <x:v>Triagem de kit ou acessório</x:v>
      </x:c>
      <x:c r="E27" s="32" t="str">
        <x:v>Triagem</x:v>
      </x:c>
      <x:c r="F27" s="32" t="str">
        <x:v>Identificar impactos conceituais</x:v>
      </x:c>
      <x:c r="G27" s="32" t="str">
        <x:v>kit_screen</x:v>
      </x:c>
      <x:c r="H27" s="32" t="str">
        <x:v>G2_KIT</x:v>
      </x:c>
      <x:c r="I27" s="32" t="n">
        <x:f>XLOOKUP(B27,Mapa_Selecao!$A:$A,Mapa_Selecao!$G:$G,0)</x:f>
        <x:v>0</x:v>
      </x:c>
    </x:row>
    <x:row r="28">
      <x:c r="A28" s="32" t="n">
        <x:v>25</x:v>
      </x:c>
      <x:c r="B28" s="32" t="str">
        <x:v>G2_INTER</x:v>
      </x:c>
      <x:c r="C28" s="32" t="str">
        <x:v>Gate 2 — Estratégia e Requisitos</x:v>
      </x:c>
      <x:c r="D28" s="32" t="str">
        <x:v>Triagem de internalização/nacionalização</x:v>
      </x:c>
      <x:c r="E28" s="32" t="str">
        <x:v>Triagem</x:v>
      </x:c>
      <x:c r="F28" s="32" t="str">
        <x:v>Ver se haverá intenção de fabricação interna</x:v>
      </x:c>
      <x:c r="G28" s="32" t="str">
        <x:v>internal_screen</x:v>
      </x:c>
      <x:c r="H28" s="32" t="str">
        <x:v>G2_INTER</x:v>
      </x:c>
      <x:c r="I28" s="32" t="n">
        <x:f>XLOOKUP(B28,Mapa_Selecao!$A:$A,Mapa_Selecao!$G:$G,0)</x:f>
        <x:v>0</x:v>
      </x:c>
    </x:row>
    <x:row r="29">
      <x:c r="A29" s="32" t="n">
        <x:v>26</x:v>
      </x:c>
      <x:c r="B29" s="32" t="str">
        <x:v>G2_REG</x:v>
      </x:c>
      <x:c r="C29" s="32" t="str">
        <x:v>Gate 2 — Estratégia e Requisitos</x:v>
      </x:c>
      <x:c r="D29" s="32" t="str">
        <x:v>Triagem regulatória preliminar</x:v>
      </x:c>
      <x:c r="E29" s="32" t="str">
        <x:v>Triagem</x:v>
      </x:c>
      <x:c r="F29" s="32" t="str">
        <x:v>Identificar incertezas regulatórias</x:v>
      </x:c>
      <x:c r="G29" s="32" t="str">
        <x:v>reg_screen</x:v>
      </x:c>
      <x:c r="H29" s="32" t="str">
        <x:v>G2_REG</x:v>
      </x:c>
      <x:c r="I29" s="32" t="n">
        <x:f>XLOOKUP(B29,Mapa_Selecao!$A:$A,Mapa_Selecao!$G:$G,0)</x:f>
        <x:v>0</x:v>
      </x:c>
    </x:row>
    <x:row r="30">
      <x:c r="A30" s="32" t="n">
        <x:v>27</x:v>
      </x:c>
      <x:c r="B30" s="32" t="str">
        <x:v>G2_CONTATO</x:v>
      </x:c>
      <x:c r="C30" s="32" t="str">
        <x:v>Gate 2 — Estratégia e Requisitos</x:v>
      </x:c>
      <x:c r="D30" s="32" t="str">
        <x:v>Triagem de contato com paciente</x:v>
      </x:c>
      <x:c r="E30" s="32" t="str">
        <x:v>Triagem</x:v>
      </x:c>
      <x:c r="F30" s="32" t="str">
        <x:v>Identificar contato e criticidade</x:v>
      </x:c>
      <x:c r="G30" s="32" t="str">
        <x:v>contact_screen</x:v>
      </x:c>
      <x:c r="H30" s="32" t="str">
        <x:v>G2_CONTATO</x:v>
      </x:c>
      <x:c r="I30" s="32" t="n">
        <x:f>XLOOKUP(B30,Mapa_Selecao!$A:$A,Mapa_Selecao!$G:$G,0)</x:f>
        <x:v>0</x:v>
      </x:c>
    </x:row>
    <x:row r="31">
      <x:c r="A31" s="32" t="n">
        <x:v>28</x:v>
      </x:c>
      <x:c r="B31" s="32" t="str">
        <x:v>G2_ESTERIL</x:v>
      </x:c>
      <x:c r="C31" s="32" t="str">
        <x:v>Gate 2 — Estratégia e Requisitos</x:v>
      </x:c>
      <x:c r="D31" s="32" t="str">
        <x:v>Triagem de esterilidade</x:v>
      </x:c>
      <x:c r="E31" s="32" t="str">
        <x:v>Triagem</x:v>
      </x:c>
      <x:c r="F31" s="32" t="str">
        <x:v>Identificar possível necessidade de esterilidade</x:v>
      </x:c>
      <x:c r="G31" s="32" t="str">
        <x:v>sterility_screen</x:v>
      </x:c>
      <x:c r="H31" s="32" t="str">
        <x:v>G2_ESTERIL</x:v>
      </x:c>
      <x:c r="I31" s="32" t="n">
        <x:f>XLOOKUP(B31,Mapa_Selecao!$A:$A,Mapa_Selecao!$G:$G,0)</x:f>
        <x:v>0</x:v>
      </x:c>
    </x:row>
    <x:row r="32">
      <x:c r="A32" s="32" t="n">
        <x:v>29</x:v>
      </x:c>
      <x:c r="B32" s="32" t="str">
        <x:v>G2_USOCRIT</x:v>
      </x:c>
      <x:c r="C32" s="32" t="str">
        <x:v>Gate 2 — Estratégia e Requisitos</x:v>
      </x:c>
      <x:c r="D32" s="32" t="str">
        <x:v>Triagem de uso crítico</x:v>
      </x:c>
      <x:c r="E32" s="32" t="str">
        <x:v>Triagem</x:v>
      </x:c>
      <x:c r="F32" s="32" t="str">
        <x:v>Identificar tarefas críticas</x:v>
      </x:c>
      <x:c r="G32" s="32" t="str">
        <x:v>use_screen</x:v>
      </x:c>
      <x:c r="H32" s="32" t="str">
        <x:v>G2_USOCRIT</x:v>
      </x:c>
      <x:c r="I32" s="32" t="n">
        <x:f>XLOOKUP(B32,Mapa_Selecao!$A:$A,Mapa_Selecao!$G:$G,0)</x:f>
        <x:v>0</x:v>
      </x:c>
    </x:row>
    <x:row r="33">
      <x:c r="A33" s="32" t="n">
        <x:v>30</x:v>
      </x:c>
      <x:c r="B33" s="32" t="str">
        <x:v>G2_PROD</x:v>
      </x:c>
      <x:c r="C33" s="32" t="str">
        <x:v>Gate 2 — Estratégia e Requisitos</x:v>
      </x:c>
      <x:c r="D33" s="32" t="str">
        <x:v>Triagem produtiva conceitual</x:v>
      </x:c>
      <x:c r="E33" s="32" t="str">
        <x:v>Triagem</x:v>
      </x:c>
      <x:c r="F33" s="32" t="str">
        <x:v>Ver se há rota provável</x:v>
      </x:c>
      <x:c r="G33" s="32" t="str">
        <x:v>manufacturing_screen</x:v>
      </x:c>
      <x:c r="H33" s="32" t="str">
        <x:v>G2_PROD</x:v>
      </x:c>
      <x:c r="I33" s="32" t="n">
        <x:f>XLOOKUP(B33,Mapa_Selecao!$A:$A,Mapa_Selecao!$G:$G,0)</x:f>
        <x:v>0</x:v>
      </x:c>
    </x:row>
    <x:row r="34">
      <x:c r="A34" s="32" t="n">
        <x:v>31</x:v>
      </x:c>
      <x:c r="B34" s="32" t="str">
        <x:v>G2_ECON</x:v>
      </x:c>
      <x:c r="C34" s="32" t="str">
        <x:v>Gate 2 — Estratégia e Requisitos</x:v>
      </x:c>
      <x:c r="D34" s="32" t="str">
        <x:v>Triagem econômica preliminar</x:v>
      </x:c>
      <x:c r="E34" s="32" t="str">
        <x:v>Triagem</x:v>
      </x:c>
      <x:c r="F34" s="32" t="str">
        <x:v>Ver se custo pode ser crítico</x:v>
      </x:c>
      <x:c r="G34" s="32" t="str">
        <x:v>economic_screen</x:v>
      </x:c>
      <x:c r="H34" s="32" t="str">
        <x:v>G2_ECON</x:v>
      </x:c>
      <x:c r="I34" s="32" t="n">
        <x:f>XLOOKUP(B34,Mapa_Selecao!$A:$A,Mapa_Selecao!$G:$G,0)</x:f>
        <x:v>0</x:v>
      </x:c>
    </x:row>
    <x:row r="35">
      <x:c r="A35" s="32" t="n">
        <x:v>32</x:v>
      </x:c>
      <x:c r="B35" s="32" t="str">
        <x:v>G2_BUSCAEXT</x:v>
      </x:c>
      <x:c r="C35" s="32" t="str">
        <x:v>Gate 2 — Estratégia e Requisitos</x:v>
      </x:c>
      <x:c r="D35" s="32" t="str">
        <x:v>Busca externa de soluções</x:v>
      </x:c>
      <x:c r="E35" s="32" t="str">
        <x:v>Pesquisa</x:v>
      </x:c>
      <x:c r="F35" s="32" t="str">
        <x:v>Benchmarking, patentes e FTO preliminar</x:v>
      </x:c>
      <x:c r="G35" s="32" t="str">
        <x:v>external_search</x:v>
      </x:c>
      <x:c r="H35" s="32" t="str">
        <x:v>G2_BUSCAEXT</x:v>
      </x:c>
      <x:c r="I35" s="32" t="n">
        <x:f>XLOOKUP(B35,Mapa_Selecao!$A:$A,Mapa_Selecao!$G:$G,0)</x:f>
        <x:v>0</x:v>
      </x:c>
    </x:row>
    <x:row r="36">
      <x:c r="A36" s="32" t="n">
        <x:v>33</x:v>
      </x:c>
      <x:c r="B36" s="32" t="str">
        <x:v>G2_INCERT</x:v>
      </x:c>
      <x:c r="C36" s="32" t="str">
        <x:v>Gate 2 — Estratégia e Requisitos</x:v>
      </x:c>
      <x:c r="D36" s="32" t="str">
        <x:v>Mapa atualizado de incertezas</x:v>
      </x:c>
      <x:c r="E36" s="32" t="str">
        <x:v>Incerteza</x:v>
      </x:c>
      <x:c r="F36" s="32" t="str">
        <x:v>Consolidar alertas</x:v>
      </x:c>
      <x:c r="G36" s="32" t="str">
        <x:v>uncertainty</x:v>
      </x:c>
      <x:c r="H36" s="32" t="str">
        <x:v>G2_INCERT</x:v>
      </x:c>
      <x:c r="I36" s="32" t="n">
        <x:f>XLOOKUP(B36,Mapa_Selecao!$A:$A,Mapa_Selecao!$G:$G,0)</x:f>
        <x:v>0</x:v>
      </x:c>
    </x:row>
    <x:row r="37">
      <x:c r="A37" s="32" t="n">
        <x:v>34</x:v>
      </x:c>
      <x:c r="B37" s="32" t="str">
        <x:v>G2_APREND</x:v>
      </x:c>
      <x:c r="C37" s="32" t="str">
        <x:v>Gate 2 — Estratégia e Requisitos</x:v>
      </x:c>
      <x:c r="D37" s="32" t="str">
        <x:v>Plano de aprendizagem do conceito</x:v>
      </x:c>
      <x:c r="E37" s="32" t="str">
        <x:v>Aprendizagem</x:v>
      </x:c>
      <x:c r="F37" s="32" t="str">
        <x:v>Definir o que precisa ser investigado</x:v>
      </x:c>
      <x:c r="G37" s="32" t="str">
        <x:v>learning_plan</x:v>
      </x:c>
      <x:c r="H37" s="32" t="str">
        <x:v>G2_APREND</x:v>
      </x:c>
      <x:c r="I37" s="32" t="n">
        <x:f>XLOOKUP(B37,Mapa_Selecao!$A:$A,Mapa_Selecao!$G:$G,0)</x:f>
        <x:v>0</x:v>
      </x:c>
    </x:row>
    <x:row r="38">
      <x:c r="A38" s="32" t="n">
        <x:v>35</x:v>
      </x:c>
      <x:c r="B38" s="32" t="str">
        <x:v>G2_GONOGO</x:v>
      </x:c>
      <x:c r="C38" s="32" t="str">
        <x:v>Gate 2 — Estratégia e Requisitos</x:v>
      </x:c>
      <x:c r="D38" s="32" t="str">
        <x:v>Matriz Go/No-Go — Gate 2</x:v>
      </x:c>
      <x:c r="E38" s="32" t="str">
        <x:v>Decisão</x:v>
      </x:c>
      <x:c r="F38" s="32" t="str">
        <x:v>Decidir se a estratégia está adequada</x:v>
      </x:c>
      <x:c r="G38" s="32" t="str">
        <x:v>gonogo</x:v>
      </x:c>
      <x:c r="H38" s="32" t="str">
        <x:v>G2_GONOGO</x:v>
      </x:c>
      <x:c r="I38" s="32" t="n">
        <x:f>XLOOKUP(B38,Mapa_Selecao!$A:$A,Mapa_Selecao!$G:$G,0)</x:f>
        <x:v>0</x:v>
      </x:c>
    </x:row>
    <x:row r="39">
      <x:c r="A39" s="32" t="n">
        <x:v>36</x:v>
      </x:c>
      <x:c r="B39" s="32" t="str">
        <x:v>G3_BUSCAINT</x:v>
      </x:c>
      <x:c r="C39" s="32" t="str">
        <x:v>Gate 3 — Geração de Alternativas</x:v>
      </x:c>
      <x:c r="D39" s="32" t="str">
        <x:v>Busca interna de soluções</x:v>
      </x:c>
      <x:c r="E39" s="32" t="str">
        <x:v>Ideação</x:v>
      </x:c>
      <x:c r="F39" s="32" t="str">
        <x:v>Explorar conhecimento interno</x:v>
      </x:c>
      <x:c r="G39" s="32" t="str">
        <x:v>internal_search</x:v>
      </x:c>
      <x:c r="H39" s="32" t="str">
        <x:v>G3_BUSCAINT</x:v>
      </x:c>
      <x:c r="I39" s="32" t="n">
        <x:f>XLOOKUP(B39,Mapa_Selecao!$A:$A,Mapa_Selecao!$G:$G,0)</x:f>
        <x:v>0</x:v>
      </x:c>
    </x:row>
    <x:row r="40">
      <x:c r="A40" s="32" t="n">
        <x:v>37</x:v>
      </x:c>
      <x:c r="B40" s="32" t="str">
        <x:v>G3_BUSCAEXT</x:v>
      </x:c>
      <x:c r="C40" s="32" t="str">
        <x:v>Gate 3 — Geração de Alternativas</x:v>
      </x:c>
      <x:c r="D40" s="32" t="str">
        <x:v>Busca externa de soluções</x:v>
      </x:c>
      <x:c r="E40" s="32" t="str">
        <x:v>Ideação</x:v>
      </x:c>
      <x:c r="F40" s="32" t="str">
        <x:v>Buscar referências externas</x:v>
      </x:c>
      <x:c r="G40" s="32" t="str">
        <x:v>external_search</x:v>
      </x:c>
      <x:c r="H40" s="32" t="str">
        <x:v>G3_BUSCAEXT</x:v>
      </x:c>
      <x:c r="I40" s="32" t="n">
        <x:f>XLOOKUP(B40,Mapa_Selecao!$A:$A,Mapa_Selecao!$G:$G,0)</x:f>
        <x:v>0</x:v>
      </x:c>
    </x:row>
    <x:row r="41">
      <x:c r="A41" s="32" t="n">
        <x:v>38</x:v>
      </x:c>
      <x:c r="B41" s="32" t="str">
        <x:v>G3_MENTAL</x:v>
      </x:c>
      <x:c r="C41" s="32" t="str">
        <x:v>Gate 3 — Geração de Alternativas</x:v>
      </x:c>
      <x:c r="D41" s="32" t="str">
        <x:v>Mapa mental</x:v>
      </x:c>
      <x:c r="E41" s="32" t="str">
        <x:v>Ideação</x:v>
      </x:c>
      <x:c r="F41" s="32" t="str">
        <x:v>Organizar ideias e caminhos</x:v>
      </x:c>
      <x:c r="G41" s="32" t="str">
        <x:v>mindmap</x:v>
      </x:c>
      <x:c r="H41" s="32" t="str">
        <x:v>G3_MENTAL</x:v>
      </x:c>
      <x:c r="I41" s="32" t="n">
        <x:f>XLOOKUP(B41,Mapa_Selecao!$A:$A,Mapa_Selecao!$G:$G,0)</x:f>
        <x:v>0</x:v>
      </x:c>
    </x:row>
    <x:row r="42">
      <x:c r="A42" s="32" t="n">
        <x:v>39</x:v>
      </x:c>
      <x:c r="B42" s="32" t="str">
        <x:v>G3_DECOMP</x:v>
      </x:c>
      <x:c r="C42" s="32" t="str">
        <x:v>Gate 3 — Geração de Alternativas</x:v>
      </x:c>
      <x:c r="D42" s="32" t="str">
        <x:v>Decomposição funcional</x:v>
      </x:c>
      <x:c r="E42" s="32" t="str">
        <x:v>Ideação</x:v>
      </x:c>
      <x:c r="F42" s="32" t="str">
        <x:v>Separar função global e subfunções</x:v>
      </x:c>
      <x:c r="G42" s="32" t="str">
        <x:v>functional</x:v>
      </x:c>
      <x:c r="H42" s="32" t="str">
        <x:v>G3_DECOMP</x:v>
      </x:c>
      <x:c r="I42" s="32" t="n">
        <x:f>XLOOKUP(B42,Mapa_Selecao!$A:$A,Mapa_Selecao!$G:$G,0)</x:f>
        <x:v>0</x:v>
      </x:c>
    </x:row>
    <x:row r="43">
      <x:c r="A43" s="32" t="n">
        <x:v>40</x:v>
      </x:c>
      <x:c r="B43" s="32" t="str">
        <x:v>G3_BRAIN</x:v>
      </x:c>
      <x:c r="C43" s="32" t="str">
        <x:v>Gate 3 — Geração de Alternativas</x:v>
      </x:c>
      <x:c r="D43" s="32" t="str">
        <x:v>Brainstorming estruturado</x:v>
      </x:c>
      <x:c r="E43" s="32" t="str">
        <x:v>Ideação</x:v>
      </x:c>
      <x:c r="F43" s="32" t="str">
        <x:v>Gerar alternativas orientadas</x:v>
      </x:c>
      <x:c r="G43" s="32" t="str">
        <x:v>brainstorm</x:v>
      </x:c>
      <x:c r="H43" s="32" t="str">
        <x:v>G3_BRAIN</x:v>
      </x:c>
      <x:c r="I43" s="32" t="n">
        <x:f>XLOOKUP(B43,Mapa_Selecao!$A:$A,Mapa_Selecao!$G:$G,0)</x:f>
        <x:v>0</x:v>
      </x:c>
    </x:row>
    <x:row r="44">
      <x:c r="A44" s="32" t="n">
        <x:v>41</x:v>
      </x:c>
      <x:c r="B44" s="32" t="str">
        <x:v>G3_SCAMPER</x:v>
      </x:c>
      <x:c r="C44" s="32" t="str">
        <x:v>Gate 3 — Geração de Alternativas</x:v>
      </x:c>
      <x:c r="D44" s="32" t="str">
        <x:v>SCAMPER</x:v>
      </x:c>
      <x:c r="E44" s="32" t="str">
        <x:v>Ideação</x:v>
      </x:c>
      <x:c r="F44" s="32" t="str">
        <x:v>Adaptar soluções existentes</x:v>
      </x:c>
      <x:c r="G44" s="32" t="str">
        <x:v>scamper</x:v>
      </x:c>
      <x:c r="H44" s="32" t="str">
        <x:v>G3_SCAMPER</x:v>
      </x:c>
      <x:c r="I44" s="32" t="n">
        <x:f>XLOOKUP(B44,Mapa_Selecao!$A:$A,Mapa_Selecao!$G:$G,0)</x:f>
        <x:v>0</x:v>
      </x:c>
    </x:row>
    <x:row r="45">
      <x:c r="A45" s="32" t="n">
        <x:v>42</x:v>
      </x:c>
      <x:c r="B45" s="32" t="str">
        <x:v>G3_TRIZ</x:v>
      </x:c>
      <x:c r="C45" s="32" t="str">
        <x:v>Gate 3 — Geração de Alternativas</x:v>
      </x:c>
      <x:c r="D45" s="32" t="str">
        <x:v>TRIZ conceitual</x:v>
      </x:c>
      <x:c r="E45" s="32" t="str">
        <x:v>Ideação</x:v>
      </x:c>
      <x:c r="F45" s="32" t="str">
        <x:v>Resolver contradições técnicas iniciais</x:v>
      </x:c>
      <x:c r="G45" s="32" t="str">
        <x:v>triz</x:v>
      </x:c>
      <x:c r="H45" s="32" t="str">
        <x:v>G3_TRIZ</x:v>
      </x:c>
      <x:c r="I45" s="32" t="n">
        <x:f>XLOOKUP(B45,Mapa_Selecao!$A:$A,Mapa_Selecao!$G:$G,0)</x:f>
        <x:v>0</x:v>
      </x:c>
    </x:row>
    <x:row r="46">
      <x:c r="A46" s="32" t="n">
        <x:v>43</x:v>
      </x:c>
      <x:c r="B46" s="32" t="str">
        <x:v>G3_MORFO</x:v>
      </x:c>
      <x:c r="C46" s="32" t="str">
        <x:v>Gate 3 — Geração de Alternativas</x:v>
      </x:c>
      <x:c r="D46" s="32" t="str">
        <x:v>Matriz morfológica</x:v>
      </x:c>
      <x:c r="E46" s="32" t="str">
        <x:v>Ideação</x:v>
      </x:c>
      <x:c r="F46" s="32" t="str">
        <x:v>Combinar subfunções e soluções</x:v>
      </x:c>
      <x:c r="G46" s="32" t="str">
        <x:v>morphological</x:v>
      </x:c>
      <x:c r="H46" s="32" t="str">
        <x:v>G3_MORFO</x:v>
      </x:c>
      <x:c r="I46" s="32" t="n">
        <x:f>XLOOKUP(B46,Mapa_Selecao!$A:$A,Mapa_Selecao!$G:$G,0)</x:f>
        <x:v>0</x:v>
      </x:c>
    </x:row>
    <x:row r="47">
      <x:c r="A47" s="32" t="n">
        <x:v>44</x:v>
      </x:c>
      <x:c r="B47" s="32" t="str">
        <x:v>G3_ARVORE</x:v>
      </x:c>
      <x:c r="C47" s="32" t="str">
        <x:v>Gate 3 — Geração de Alternativas</x:v>
      </x:c>
      <x:c r="D47" s="32" t="str">
        <x:v>Árvore de classificação de conceitos</x:v>
      </x:c>
      <x:c r="E47" s="32" t="str">
        <x:v>Ideação</x:v>
      </x:c>
      <x:c r="F47" s="32" t="str">
        <x:v>Organizar famílias de soluções</x:v>
      </x:c>
      <x:c r="G47" s="32" t="str">
        <x:v>concept_tree</x:v>
      </x:c>
      <x:c r="H47" s="32" t="str">
        <x:v>G3_ARVORE</x:v>
      </x:c>
      <x:c r="I47" s="32" t="n">
        <x:f>XLOOKUP(B47,Mapa_Selecao!$A:$A,Mapa_Selecao!$G:$G,0)</x:f>
        <x:v>0</x:v>
      </x:c>
    </x:row>
    <x:row r="48">
      <x:c r="A48" s="32" t="n">
        <x:v>45</x:v>
      </x:c>
      <x:c r="B48" s="32" t="str">
        <x:v>G3_COMBO</x:v>
      </x:c>
      <x:c r="C48" s="32" t="str">
        <x:v>Gate 3 — Geração de Alternativas</x:v>
      </x:c>
      <x:c r="D48" s="32" t="str">
        <x:v>Tabela de combinação de conceitos</x:v>
      </x:c>
      <x:c r="E48" s="32" t="str">
        <x:v>Ideação</x:v>
      </x:c>
      <x:c r="F48" s="32" t="str">
        <x:v>Montar combinações promissoras</x:v>
      </x:c>
      <x:c r="G48" s="32" t="str">
        <x:v>combination</x:v>
      </x:c>
      <x:c r="H48" s="32" t="str">
        <x:v>G3_COMBO</x:v>
      </x:c>
      <x:c r="I48" s="32" t="n">
        <x:f>XLOOKUP(B48,Mapa_Selecao!$A:$A,Mapa_Selecao!$G:$G,0)</x:f>
        <x:v>0</x:v>
      </x:c>
    </x:row>
    <x:row r="49">
      <x:c r="A49" s="32" t="n">
        <x:v>46</x:v>
      </x:c>
      <x:c r="B49" s="32" t="str">
        <x:v>G3_SKETCH</x:v>
      </x:c>
      <x:c r="C49" s="32" t="str">
        <x:v>Gate 3 — Geração de Alternativas</x:v>
      </x:c>
      <x:c r="D49" s="32" t="str">
        <x:v>Sketch conceitual</x:v>
      </x:c>
      <x:c r="E49" s="32" t="str">
        <x:v>Ideação</x:v>
      </x:c>
      <x:c r="F49" s="32" t="str">
        <x:v>Representar visualmente alternativas</x:v>
      </x:c>
      <x:c r="G49" s="32" t="str">
        <x:v>sketch</x:v>
      </x:c>
      <x:c r="H49" s="32" t="str">
        <x:v>G3_SKETCH</x:v>
      </x:c>
      <x:c r="I49" s="32" t="n">
        <x:f>XLOOKUP(B49,Mapa_Selecao!$A:$A,Mapa_Selecao!$G:$G,0)</x:f>
        <x:v>0</x:v>
      </x:c>
    </x:row>
    <x:row r="50">
      <x:c r="A50" s="32" t="n">
        <x:v>47</x:v>
      </x:c>
      <x:c r="B50" s="32" t="str">
        <x:v>G3_STORY</x:v>
      </x:c>
      <x:c r="C50" s="32" t="str">
        <x:v>Gate 3 — Geração de Alternativas</x:v>
      </x:c>
      <x:c r="D50" s="32" t="str">
        <x:v>Storyboard de uso</x:v>
      </x:c>
      <x:c r="E50" s="32" t="str">
        <x:v>Ideação</x:v>
      </x:c>
      <x:c r="F50" s="32" t="str">
        <x:v>Mostrar sequência de uso</x:v>
      </x:c>
      <x:c r="G50" s="32" t="str">
        <x:v>storyboard</x:v>
      </x:c>
      <x:c r="H50" s="32" t="str">
        <x:v>G3_STORY</x:v>
      </x:c>
      <x:c r="I50" s="32" t="n">
        <x:f>XLOOKUP(B50,Mapa_Selecao!$A:$A,Mapa_Selecao!$G:$G,0)</x:f>
        <x:v>0</x:v>
      </x:c>
    </x:row>
    <x:row r="51">
      <x:c r="A51" s="32" t="n">
        <x:v>48</x:v>
      </x:c>
      <x:c r="B51" s="32" t="str">
        <x:v>G3_PROTO</x:v>
      </x:c>
      <x:c r="C51" s="32" t="str">
        <x:v>Gate 3 — Geração de Alternativas</x:v>
      </x:c>
      <x:c r="D51" s="32" t="str">
        <x:v>Prototipagem conceitual simples</x:v>
      </x:c>
      <x:c r="E51" s="32" t="str">
        <x:v>Ideação</x:v>
      </x:c>
      <x:c r="F51" s="32" t="str">
        <x:v>Tangibilizar sem fechar projeto</x:v>
      </x:c>
      <x:c r="G51" s="32" t="str">
        <x:v>proto</x:v>
      </x:c>
      <x:c r="H51" s="32" t="str">
        <x:v>G3_PROTO</x:v>
      </x:c>
      <x:c r="I51" s="32" t="n">
        <x:f>XLOOKUP(B51,Mapa_Selecao!$A:$A,Mapa_Selecao!$G:$G,0)</x:f>
        <x:v>0</x:v>
      </x:c>
    </x:row>
    <x:row r="52">
      <x:c r="A52" s="32" t="n">
        <x:v>49</x:v>
      </x:c>
      <x:c r="B52" s="32" t="str">
        <x:v>G3_PROVA</x:v>
      </x:c>
      <x:c r="C52" s="32" t="str">
        <x:v>Gate 3 — Geração de Alternativas</x:v>
      </x:c>
      <x:c r="D52" s="32" t="str">
        <x:v>Prova de princípio simples</x:v>
      </x:c>
      <x:c r="E52" s="32" t="str">
        <x:v>Ideação</x:v>
      </x:c>
      <x:c r="F52" s="32" t="str">
        <x:v>Testar possibilidade básica</x:v>
      </x:c>
      <x:c r="G52" s="32" t="str">
        <x:v>proof</x:v>
      </x:c>
      <x:c r="H52" s="32" t="str">
        <x:v>G3_PROVA</x:v>
      </x:c>
      <x:c r="I52" s="32" t="n">
        <x:f>XLOOKUP(B52,Mapa_Selecao!$A:$A,Mapa_Selecao!$G:$G,0)</x:f>
        <x:v>0</x:v>
      </x:c>
    </x:row>
    <x:row r="53">
      <x:c r="A53" s="32" t="n">
        <x:v>50</x:v>
      </x:c>
      <x:c r="B53" s="32" t="str">
        <x:v>G3_GONOGO</x:v>
      </x:c>
      <x:c r="C53" s="32" t="str">
        <x:v>Gate 3 — Geração de Alternativas</x:v>
      </x:c>
      <x:c r="D53" s="32" t="str">
        <x:v>Matriz Go/No-Go — Gate 3</x:v>
      </x:c>
      <x:c r="E53" s="32" t="str">
        <x:v>Decisão</x:v>
      </x:c>
      <x:c r="F53" s="32" t="str">
        <x:v>Decidir se há alternativas suficientes</x:v>
      </x:c>
      <x:c r="G53" s="32" t="str">
        <x:v>gonogo</x:v>
      </x:c>
      <x:c r="H53" s="32" t="str">
        <x:v>G3_GONOGO</x:v>
      </x:c>
      <x:c r="I53" s="32" t="n">
        <x:f>XLOOKUP(B53,Mapa_Selecao!$A:$A,Mapa_Selecao!$G:$G,0)</x:f>
        <x:v>0</x:v>
      </x:c>
    </x:row>
    <x:row r="54">
      <x:c r="A54" s="32" t="n">
        <x:v>51</x:v>
      </x:c>
      <x:c r="B54" s="32" t="str">
        <x:v>G4_CRIT</x:v>
      </x:c>
      <x:c r="C54" s="32" t="str">
        <x:v>Gate 4 — Seleção e Teste</x:v>
      </x:c>
      <x:c r="D54" s="32" t="str">
        <x:v>Critérios de seleção do conceito</x:v>
      </x:c>
      <x:c r="E54" s="32" t="str">
        <x:v>Seleção</x:v>
      </x:c>
      <x:c r="F54" s="32" t="str">
        <x:v>Definir critérios antes de pontuar</x:v>
      </x:c>
      <x:c r="G54" s="32" t="str">
        <x:v>criteria</x:v>
      </x:c>
      <x:c r="H54" s="32" t="str">
        <x:v>G4_CRIT</x:v>
      </x:c>
      <x:c r="I54" s="32" t="n">
        <x:f>XLOOKUP(B54,Mapa_Selecao!$A:$A,Mapa_Selecao!$G:$G,0)</x:f>
        <x:v>0</x:v>
      </x:c>
    </x:row>
    <x:row r="55">
      <x:c r="A55" s="32" t="n">
        <x:v>52</x:v>
      </x:c>
      <x:c r="B55" s="32" t="str">
        <x:v>G4_REF</x:v>
      </x:c>
      <x:c r="C55" s="32" t="str">
        <x:v>Gate 4 — Seleção e Teste</x:v>
      </x:c>
      <x:c r="D55" s="32" t="str">
        <x:v>Conceito de referência</x:v>
      </x:c>
      <x:c r="E55" s="32" t="str">
        <x:v>Seleção</x:v>
      </x:c>
      <x:c r="F55" s="32" t="str">
        <x:v>Definir base comparativa</x:v>
      </x:c>
      <x:c r="G55" s="32" t="str">
        <x:v>reference</x:v>
      </x:c>
      <x:c r="H55" s="32" t="str">
        <x:v>G4_REF</x:v>
      </x:c>
      <x:c r="I55" s="32" t="n">
        <x:f>XLOOKUP(B55,Mapa_Selecao!$A:$A,Mapa_Selecao!$G:$G,0)</x:f>
        <x:v>0</x:v>
      </x:c>
    </x:row>
    <x:row r="56">
      <x:c r="A56" s="32" t="n">
        <x:v>53</x:v>
      </x:c>
      <x:c r="B56" s="32" t="str">
        <x:v>G4_TRIAGEM</x:v>
      </x:c>
      <x:c r="C56" s="32" t="str">
        <x:v>Gate 4 — Seleção e Teste</x:v>
      </x:c>
      <x:c r="D56" s="32" t="str">
        <x:v>Matriz de triagem de conceitos</x:v>
      </x:c>
      <x:c r="E56" s="32" t="str">
        <x:v>Seleção</x:v>
      </x:c>
      <x:c r="F56" s="32" t="str">
        <x:v>Filtrar alternativas rapidamente</x:v>
      </x:c>
      <x:c r="G56" s="32" t="str">
        <x:v>screen_matrix</x:v>
      </x:c>
      <x:c r="H56" s="32" t="str">
        <x:v>G4_TRIAGEM</x:v>
      </x:c>
      <x:c r="I56" s="32" t="n">
        <x:f>XLOOKUP(B56,Mapa_Selecao!$A:$A,Mapa_Selecao!$G:$G,0)</x:f>
        <x:v>0</x:v>
      </x:c>
    </x:row>
    <x:row r="57">
      <x:c r="A57" s="32" t="n">
        <x:v>54</x:v>
      </x:c>
      <x:c r="B57" s="32" t="str">
        <x:v>G4_PUGH</x:v>
      </x:c>
      <x:c r="C57" s="32" t="str">
        <x:v>Gate 4 — Seleção e Teste</x:v>
      </x:c>
      <x:c r="D57" s="32" t="str">
        <x:v>Matriz de Pugh</x:v>
      </x:c>
      <x:c r="E57" s="32" t="str">
        <x:v>Seleção</x:v>
      </x:c>
      <x:c r="F57" s="32" t="str">
        <x:v>Comparar conceitos contra referência</x:v>
      </x:c>
      <x:c r="G57" s="32" t="str">
        <x:v>pugh</x:v>
      </x:c>
      <x:c r="H57" s="32" t="str">
        <x:v>G4_PUGH</x:v>
      </x:c>
      <x:c r="I57" s="32" t="n">
        <x:f>XLOOKUP(B57,Mapa_Selecao!$A:$A,Mapa_Selecao!$G:$G,0)</x:f>
        <x:v>0</x:v>
      </x:c>
    </x:row>
    <x:row r="58">
      <x:c r="A58" s="32" t="n">
        <x:v>55</x:v>
      </x:c>
      <x:c r="B58" s="32" t="str">
        <x:v>G4_PONDER</x:v>
      </x:c>
      <x:c r="C58" s="32" t="str">
        <x:v>Gate 4 — Seleção e Teste</x:v>
      </x:c>
      <x:c r="D58" s="32" t="str">
        <x:v>Matriz de decisão ponderada</x:v>
      </x:c>
      <x:c r="E58" s="32" t="str">
        <x:v>Seleção</x:v>
      </x:c>
      <x:c r="F58" s="32" t="str">
        <x:v>Selecionar conceito por pesos</x:v>
      </x:c>
      <x:c r="G58" s="32" t="str">
        <x:v>weighted</x:v>
      </x:c>
      <x:c r="H58" s="32" t="str">
        <x:v>G4_PONDER</x:v>
      </x:c>
      <x:c r="I58" s="32" t="n">
        <x:f>XLOOKUP(B58,Mapa_Selecao!$A:$A,Mapa_Selecao!$G:$G,0)</x:f>
        <x:v>0</x:v>
      </x:c>
    </x:row>
    <x:row r="59">
      <x:c r="A59" s="32" t="n">
        <x:v>56</x:v>
      </x:c>
      <x:c r="B59" s="32" t="str">
        <x:v>G4_TRADE</x:v>
      </x:c>
      <x:c r="C59" s="32" t="str">
        <x:v>Gate 4 — Seleção e Teste</x:v>
      </x:c>
      <x:c r="D59" s="32" t="str">
        <x:v>Trade-off conceitual</x:v>
      </x:c>
      <x:c r="E59" s="32" t="str">
        <x:v>Seleção</x:v>
      </x:c>
      <x:c r="F59" s="32" t="str">
        <x:v>Comparar ganhos, perdas e incertezas</x:v>
      </x:c>
      <x:c r="G59" s="32" t="str">
        <x:v>tradeoff</x:v>
      </x:c>
      <x:c r="H59" s="32" t="str">
        <x:v>G4_TRADE</x:v>
      </x:c>
      <x:c r="I59" s="32" t="n">
        <x:f>XLOOKUP(B59,Mapa_Selecao!$A:$A,Mapa_Selecao!$G:$G,0)</x:f>
        <x:v>0</x:v>
      </x:c>
    </x:row>
    <x:row r="60">
      <x:c r="A60" s="32" t="n">
        <x:v>57</x:v>
      </x:c>
      <x:c r="B60" s="32" t="str">
        <x:v>G4_NEC_CONC</x:v>
      </x:c>
      <x:c r="C60" s="32" t="str">
        <x:v>Gate 4 — Seleção e Teste</x:v>
      </x:c>
      <x:c r="D60" s="32" t="str">
        <x:v>Matriz necessidade × conceito</x:v>
      </x:c>
      <x:c r="E60" s="32" t="str">
        <x:v>Seleção</x:v>
      </x:c>
      <x:c r="F60" s="32" t="str">
        <x:v>Ver aderência às necessidades priorizadas</x:v>
      </x:c>
      <x:c r="G60" s="32" t="str">
        <x:v>need_concept</x:v>
      </x:c>
      <x:c r="H60" s="32" t="str">
        <x:v>G4_NEC_CONC</x:v>
      </x:c>
      <x:c r="I60" s="32" t="n">
        <x:f>XLOOKUP(B60,Mapa_Selecao!$A:$A,Mapa_Selecao!$G:$G,0)</x:f>
        <x:v>0</x:v>
      </x:c>
    </x:row>
    <x:row r="61">
      <x:c r="A61" s="32" t="n">
        <x:v>58</x:v>
      </x:c>
      <x:c r="B61" s="32" t="str">
        <x:v>G4_CTQ_CONC</x:v>
      </x:c>
      <x:c r="C61" s="32" t="str">
        <x:v>Gate 4 — Seleção e Teste</x:v>
      </x:c>
      <x:c r="D61" s="32" t="str">
        <x:v>Matriz CTQ × conceito</x:v>
      </x:c>
      <x:c r="E61" s="32" t="str">
        <x:v>Seleção</x:v>
      </x:c>
      <x:c r="F61" s="32" t="str">
        <x:v>Ver aderência aos atributos críticos</x:v>
      </x:c>
      <x:c r="G61" s="32" t="str">
        <x:v>ctq_concept</x:v>
      </x:c>
      <x:c r="H61" s="32" t="str">
        <x:v>G4_CTQ_CONC</x:v>
      </x:c>
      <x:c r="I61" s="32" t="n">
        <x:f>XLOOKUP(B61,Mapa_Selecao!$A:$A,Mapa_Selecao!$G:$G,0)</x:f>
        <x:v>0</x:v>
      </x:c>
    </x:row>
    <x:row r="62">
      <x:c r="A62" s="32" t="n">
        <x:v>59</x:v>
      </x:c>
      <x:c r="B62" s="32" t="str">
        <x:v>G4_ATRAT</x:v>
      </x:c>
      <x:c r="C62" s="32" t="str">
        <x:v>Gate 4 — Seleção e Teste</x:v>
      </x:c>
      <x:c r="D62" s="32" t="str">
        <x:v>Atratividade do conceito</x:v>
      </x:c>
      <x:c r="E62" s="32" t="str">
        <x:v>Seleção</x:v>
      </x:c>
      <x:c r="F62" s="32" t="str">
        <x:v>Avaliar valor percebido e adoção</x:v>
      </x:c>
      <x:c r="G62" s="32" t="str">
        <x:v>attractiveness</x:v>
      </x:c>
      <x:c r="H62" s="32" t="str">
        <x:v>G4_ATRAT</x:v>
      </x:c>
      <x:c r="I62" s="32" t="n">
        <x:f>XLOOKUP(B62,Mapa_Selecao!$A:$A,Mapa_Selecao!$G:$G,0)</x:f>
        <x:v>0</x:v>
      </x:c>
    </x:row>
    <x:row r="63">
      <x:c r="A63" s="32" t="n">
        <x:v>60</x:v>
      </x:c>
      <x:c r="B63" s="32" t="str">
        <x:v>G4_TESTE</x:v>
      </x:c>
      <x:c r="C63" s="32" t="str">
        <x:v>Gate 4 — Seleção e Teste</x:v>
      </x:c>
      <x:c r="D63" s="32" t="str">
        <x:v>Teste de conceito preliminar</x:v>
      </x:c>
      <x:c r="E63" s="32" t="str">
        <x:v>Seleção</x:v>
      </x:c>
      <x:c r="F63" s="32" t="str">
        <x:v>Avaliar entendimento e aceitação</x:v>
      </x:c>
      <x:c r="G63" s="32" t="str">
        <x:v>concept_test</x:v>
      </x:c>
      <x:c r="H63" s="32" t="str">
        <x:v>G4_TESTE</x:v>
      </x:c>
      <x:c r="I63" s="32" t="n">
        <x:f>XLOOKUP(B63,Mapa_Selecao!$A:$A,Mapa_Selecao!$G:$G,0)</x:f>
        <x:v>0</x:v>
      </x:c>
    </x:row>
    <x:row r="64">
      <x:c r="A64" s="32" t="n">
        <x:v>61</x:v>
      </x:c>
      <x:c r="B64" s="32" t="str">
        <x:v>G4_PROTO</x:v>
      </x:c>
      <x:c r="C64" s="32" t="str">
        <x:v>Gate 4 — Seleção e Teste</x:v>
      </x:c>
      <x:c r="D64" s="32" t="str">
        <x:v>Prototipagem conceitual de apoio</x:v>
      </x:c>
      <x:c r="E64" s="32" t="str">
        <x:v>Seleção</x:v>
      </x:c>
      <x:c r="F64" s="32" t="str">
        <x:v>Apoiar comunicação e teste</x:v>
      </x:c>
      <x:c r="G64" s="32" t="str">
        <x:v>proto</x:v>
      </x:c>
      <x:c r="H64" s="32" t="str">
        <x:v>G4_PROTO</x:v>
      </x:c>
      <x:c r="I64" s="32" t="n">
        <x:f>XLOOKUP(B64,Mapa_Selecao!$A:$A,Mapa_Selecao!$G:$G,0)</x:f>
        <x:v>0</x:v>
      </x:c>
    </x:row>
    <x:row r="65">
      <x:c r="A65" s="32" t="n">
        <x:v>62</x:v>
      </x:c>
      <x:c r="B65" s="32" t="str">
        <x:v>G4_SCORE</x:v>
      </x:c>
      <x:c r="C65" s="32" t="str">
        <x:v>Gate 4 — Seleção e Teste</x:v>
      </x:c>
      <x:c r="D65" s="32" t="str">
        <x:v>Scorecard de conceito</x:v>
      </x:c>
      <x:c r="E65" s="32" t="str">
        <x:v>Seleção</x:v>
      </x:c>
      <x:c r="F65" s="32" t="str">
        <x:v>Consolidar avaliação final</x:v>
      </x:c>
      <x:c r="G65" s="32" t="str">
        <x:v>scorecard</x:v>
      </x:c>
      <x:c r="H65" s="32" t="str">
        <x:v>G4_SCORE</x:v>
      </x:c>
      <x:c r="I65" s="32" t="n">
        <x:f>XLOOKUP(B65,Mapa_Selecao!$A:$A,Mapa_Selecao!$G:$G,0)</x:f>
        <x:v>0</x:v>
      </x:c>
    </x:row>
    <x:row r="66">
      <x:c r="A66" s="32" t="n">
        <x:v>63</x:v>
      </x:c>
      <x:c r="B66" s="32" t="str">
        <x:v>G4_INCERT</x:v>
      </x:c>
      <x:c r="C66" s="32" t="str">
        <x:v>Gate 4 — Seleção e Teste</x:v>
      </x:c>
      <x:c r="D66" s="32" t="str">
        <x:v>Mapa de incertezas do conceito selecionado</x:v>
      </x:c>
      <x:c r="E66" s="32" t="str">
        <x:v>Seleção</x:v>
      </x:c>
      <x:c r="F66" s="32" t="str">
        <x:v>Registrar dúvidas remanescentes</x:v>
      </x:c>
      <x:c r="G66" s="32" t="str">
        <x:v>uncertainty</x:v>
      </x:c>
      <x:c r="H66" s="32" t="str">
        <x:v>G4_INCERT</x:v>
      </x:c>
      <x:c r="I66" s="32" t="n">
        <x:f>XLOOKUP(B66,Mapa_Selecao!$A:$A,Mapa_Selecao!$G:$G,0)</x:f>
        <x:v>0</x:v>
      </x:c>
    </x:row>
    <x:row r="67">
      <x:c r="A67" s="32" t="n">
        <x:v>64</x:v>
      </x:c>
      <x:c r="B67" s="32" t="str">
        <x:v>G4_GONOGO</x:v>
      </x:c>
      <x:c r="C67" s="32" t="str">
        <x:v>Gate 4 — Seleção e Teste</x:v>
      </x:c>
      <x:c r="D67" s="32" t="str">
        <x:v>Matriz Go/No-Go — Gate 4</x:v>
      </x:c>
      <x:c r="E67" s="32" t="str">
        <x:v>Decisão</x:v>
      </x:c>
      <x:c r="F67" s="32" t="str">
        <x:v>Decidir se o conceito pode ser consolidado</x:v>
      </x:c>
      <x:c r="G67" s="32" t="str">
        <x:v>gonogo</x:v>
      </x:c>
      <x:c r="H67" s="32" t="str">
        <x:v>G4_GONOGO</x:v>
      </x:c>
      <x:c r="I67" s="32" t="n">
        <x:f>XLOOKUP(B67,Mapa_Selecao!$A:$A,Mapa_Selecao!$G:$G,0)</x:f>
        <x:v>0</x:v>
      </x:c>
    </x:row>
    <x:row r="68">
      <x:c r="A68" s="32" t="n">
        <x:v>65</x:v>
      </x:c>
      <x:c r="B68" s="32" t="str">
        <x:v>G5_MISSAO</x:v>
      </x:c>
      <x:c r="C68" s="32" t="str">
        <x:v>Gate 5 — Conceito Final Aprovado</x:v>
      </x:c>
      <x:c r="D68" s="32" t="str">
        <x:v>Declaração de missão do conceito</x:v>
      </x:c>
      <x:c r="E68" s="32" t="str">
        <x:v>Entregável</x:v>
      </x:c>
      <x:c r="F68" s="32" t="str">
        <x:v>Consolidar objetivo, mercado, usuário e benefício</x:v>
      </x:c>
      <x:c r="G68" s="32" t="str">
        <x:v>mission</x:v>
      </x:c>
      <x:c r="H68" s="32" t="str">
        <x:v>G5_MISSAO</x:v>
      </x:c>
      <x:c r="I68" s="32" t="n">
        <x:f>XLOOKUP(B68,Mapa_Selecao!$A:$A,Mapa_Selecao!$G:$G,0)</x:f>
        <x:v>0</x:v>
      </x:c>
    </x:row>
    <x:row r="69">
      <x:c r="A69" s="32" t="n">
        <x:v>66</x:v>
      </x:c>
      <x:c r="B69" s="32" t="str">
        <x:v>G5_REQ</x:v>
      </x:c>
      <x:c r="C69" s="32" t="str">
        <x:v>Gate 5 — Conceito Final Aprovado</x:v>
      </x:c>
      <x:c r="D69" s="32" t="str">
        <x:v>Requisitos conceituais preliminares</x:v>
      </x:c>
      <x:c r="E69" s="32" t="str">
        <x:v>Entregável</x:v>
      </x:c>
      <x:c r="F69" s="32" t="str">
        <x:v>Listar requisitos de alto nível</x:v>
      </x:c>
      <x:c r="G69" s="32" t="str">
        <x:v>req</x:v>
      </x:c>
      <x:c r="H69" s="32" t="str">
        <x:v>G5_REQ</x:v>
      </x:c>
      <x:c r="I69" s="32" t="n">
        <x:f>XLOOKUP(B69,Mapa_Selecao!$A:$A,Mapa_Selecao!$G:$G,0)</x:f>
        <x:v>0</x:v>
      </x:c>
    </x:row>
    <x:row r="70">
      <x:c r="A70" s="32" t="n">
        <x:v>67</x:v>
      </x:c>
      <x:c r="B70" s="32" t="str">
        <x:v>G5_UNS</x:v>
      </x:c>
      <x:c r="C70" s="32" t="str">
        <x:v>Gate 5 — Conceito Final Aprovado</x:v>
      </x:c>
      <x:c r="D70" s="32" t="str">
        <x:v>User Needs Statement</x:v>
      </x:c>
      <x:c r="E70" s="32" t="str">
        <x:v>Entregável</x:v>
      </x:c>
      <x:c r="F70" s="32" t="str">
        <x:v>Formalizar necessidades do usuário</x:v>
      </x:c>
      <x:c r="G70" s="32" t="str">
        <x:v>uns</x:v>
      </x:c>
      <x:c r="H70" s="32" t="str">
        <x:v>G5_UNS</x:v>
      </x:c>
      <x:c r="I70" s="32" t="n">
        <x:f>XLOOKUP(B70,Mapa_Selecao!$A:$A,Mapa_Selecao!$G:$G,0)</x:f>
        <x:v>0</x:v>
      </x:c>
    </x:row>
    <x:row r="71">
      <x:c r="A71" s="32" t="n">
        <x:v>68</x:v>
      </x:c>
      <x:c r="B71" s="32" t="str">
        <x:v>G5_CTQ</x:v>
      </x:c>
      <x:c r="C71" s="32" t="str">
        <x:v>Gate 5 — Conceito Final Aprovado</x:v>
      </x:c>
      <x:c r="D71" s="32" t="str">
        <x:v>CTQ consolidado do conceito</x:v>
      </x:c>
      <x:c r="E71" s="32" t="str">
        <x:v>Entregável</x:v>
      </x:c>
      <x:c r="F71" s="32" t="str">
        <x:v>Registrar atributos críticos escolhidos</x:v>
      </x:c>
      <x:c r="G71" s="32" t="str">
        <x:v>ctq_consolidated</x:v>
      </x:c>
      <x:c r="H71" s="32" t="str">
        <x:v>G5_CTQ</x:v>
      </x:c>
      <x:c r="I71" s="32" t="n">
        <x:f>XLOOKUP(B71,Mapa_Selecao!$A:$A,Mapa_Selecao!$G:$G,0)</x:f>
        <x:v>0</x:v>
      </x:c>
    </x:row>
    <x:row r="72">
      <x:c r="A72" s="32" t="n">
        <x:v>69</x:v>
      </x:c>
      <x:c r="B72" s="32" t="str">
        <x:v>G5_QFD</x:v>
      </x:c>
      <x:c r="C72" s="32" t="str">
        <x:v>Gate 5 — Conceito Final Aprovado</x:v>
      </x:c>
      <x:c r="D72" s="32" t="str">
        <x:v>QFD conceitual consolidado</x:v>
      </x:c>
      <x:c r="E72" s="32" t="str">
        <x:v>Entregável</x:v>
      </x:c>
      <x:c r="F72" s="32" t="str">
        <x:v>Registrar relação necessidade × requisito</x:v>
      </x:c>
      <x:c r="G72" s="32" t="str">
        <x:v>qfd_consolidated</x:v>
      </x:c>
      <x:c r="H72" s="32" t="str">
        <x:v>G5_QFD</x:v>
      </x:c>
      <x:c r="I72" s="32" t="n">
        <x:f>XLOOKUP(B72,Mapa_Selecao!$A:$A,Mapa_Selecao!$G:$G,0)</x:f>
        <x:v>0</x:v>
      </x:c>
    </x:row>
    <x:row r="73">
      <x:c r="A73" s="32" t="n">
        <x:v>70</x:v>
      </x:c>
      <x:c r="B73" s="32" t="str">
        <x:v>G5_CLAIMS</x:v>
      </x:c>
      <x:c r="C73" s="32" t="str">
        <x:v>Gate 5 — Conceito Final Aprovado</x:v>
      </x:c>
      <x:c r="D73" s="32" t="str">
        <x:v>Claims pretendidos</x:v>
      </x:c>
      <x:c r="E73" s="32" t="str">
        <x:v>Entregável</x:v>
      </x:c>
      <x:c r="F73" s="32" t="str">
        <x:v>Registrar alegações desejadas</x:v>
      </x:c>
      <x:c r="G73" s="32" t="str">
        <x:v>claims</x:v>
      </x:c>
      <x:c r="H73" s="32" t="str">
        <x:v>G5_CLAIMS</x:v>
      </x:c>
      <x:c r="I73" s="32" t="n">
        <x:f>XLOOKUP(B73,Mapa_Selecao!$A:$A,Mapa_Selecao!$G:$G,0)</x:f>
        <x:v>0</x:v>
      </x:c>
    </x:row>
    <x:row r="74">
      <x:c r="A74" s="32" t="n">
        <x:v>71</x:v>
      </x:c>
      <x:c r="B74" s="32" t="str">
        <x:v>G5_INCERT</x:v>
      </x:c>
      <x:c r="C74" s="32" t="str">
        <x:v>Gate 5 — Conceito Final Aprovado</x:v>
      </x:c>
      <x:c r="D74" s="32" t="str">
        <x:v>Mapa final de incertezas</x:v>
      </x:c>
      <x:c r="E74" s="32" t="str">
        <x:v>Entregável</x:v>
      </x:c>
      <x:c r="F74" s="32" t="str">
        <x:v>Consolidar dúvidas para o projeto</x:v>
      </x:c>
      <x:c r="G74" s="32" t="str">
        <x:v>uncertainty</x:v>
      </x:c>
      <x:c r="H74" s="32" t="str">
        <x:v>G5_INCERT</x:v>
      </x:c>
      <x:c r="I74" s="32" t="n">
        <x:f>XLOOKUP(B74,Mapa_Selecao!$A:$A,Mapa_Selecao!$G:$G,0)</x:f>
        <x:v>0</x:v>
      </x:c>
    </x:row>
    <x:row r="75">
      <x:c r="A75" s="32" t="n">
        <x:v>72</x:v>
      </x:c>
      <x:c r="B75" s="32" t="str">
        <x:v>G5_APREND</x:v>
      </x:c>
      <x:c r="C75" s="32" t="str">
        <x:v>Gate 5 — Conceito Final Aprovado</x:v>
      </x:c>
      <x:c r="D75" s="32" t="str">
        <x:v>Plano de aprendizagem para projeto</x:v>
      </x:c>
      <x:c r="E75" s="32" t="str">
        <x:v>Entregável</x:v>
      </x:c>
      <x:c r="F75" s="32" t="str">
        <x:v>Indicar o que investigar depois</x:v>
      </x:c>
      <x:c r="G75" s="32" t="str">
        <x:v>learning_plan</x:v>
      </x:c>
      <x:c r="H75" s="32" t="str">
        <x:v>G5_APREND</x:v>
      </x:c>
      <x:c r="I75" s="32" t="n">
        <x:f>XLOOKUP(B75,Mapa_Selecao!$A:$A,Mapa_Selecao!$G:$G,0)</x:f>
        <x:v>0</x:v>
      </x:c>
    </x:row>
    <x:row r="76">
      <x:c r="A76" s="32" t="n">
        <x:v>73</x:v>
      </x:c>
      <x:c r="B76" s="32" t="str">
        <x:v>G5_PREM</x:v>
      </x:c>
      <x:c r="C76" s="32" t="str">
        <x:v>Gate 5 — Conceito Final Aprovado</x:v>
      </x:c>
      <x:c r="D76" s="32" t="str">
        <x:v>Premissas e restrições do conceito</x:v>
      </x:c>
      <x:c r="E76" s="32" t="str">
        <x:v>Entregável</x:v>
      </x:c>
      <x:c r="F76" s="32" t="str">
        <x:v>Registrar hipóteses e limites conhecidos</x:v>
      </x:c>
      <x:c r="G76" s="32" t="str">
        <x:v>premises</x:v>
      </x:c>
      <x:c r="H76" s="32" t="str">
        <x:v>G5_PREM</x:v>
      </x:c>
      <x:c r="I76" s="32" t="n">
        <x:f>XLOOKUP(B76,Mapa_Selecao!$A:$A,Mapa_Selecao!$G:$G,0)</x:f>
        <x:v>0</x:v>
      </x:c>
    </x:row>
    <x:row r="77">
      <x:c r="A77" s="32" t="n">
        <x:v>74</x:v>
      </x:c>
      <x:c r="B77" s="32" t="str">
        <x:v>G5_RECOM</x:v>
      </x:c>
      <x:c r="C77" s="32" t="str">
        <x:v>Gate 5 — Conceito Final Aprovado</x:v>
      </x:c>
      <x:c r="D77" s="32" t="str">
        <x:v>Recomendações para próxima fase</x:v>
      </x:c>
      <x:c r="E77" s="32" t="str">
        <x:v>Entregável</x:v>
      </x:c>
      <x:c r="F77" s="32" t="str">
        <x:v>Orientar equipe de projeto posterior</x:v>
      </x:c>
      <x:c r="G77" s="32" t="str">
        <x:v>recommendations</x:v>
      </x:c>
      <x:c r="H77" s="32" t="str">
        <x:v>G5_RECOM</x:v>
      </x:c>
      <x:c r="I77" s="32" t="n">
        <x:f>XLOOKUP(B77,Mapa_Selecao!$A:$A,Mapa_Selecao!$G:$G,0)</x:f>
        <x:v>0</x:v>
      </x:c>
    </x:row>
    <x:row r="78">
      <x:c r="A78" s="32" t="n">
        <x:v>75</x:v>
      </x:c>
      <x:c r="B78" s="32" t="str">
        <x:v>G5_ONEPAGE</x:v>
      </x:c>
      <x:c r="C78" s="32" t="str">
        <x:v>Gate 5 — Conceito Final Aprovado</x:v>
      </x:c>
      <x:c r="D78" s="32" t="str">
        <x:v>One-Page Concept</x:v>
      </x:c>
      <x:c r="E78" s="32" t="str">
        <x:v>Entregável</x:v>
      </x:c>
      <x:c r="F78" s="32" t="str">
        <x:v>Resumir o conceito em uma página</x:v>
      </x:c>
      <x:c r="G78" s="32" t="str">
        <x:v>onepage</x:v>
      </x:c>
      <x:c r="H78" s="32" t="str">
        <x:v>G5_ONEPAGE</x:v>
      </x:c>
      <x:c r="I78" s="32" t="n">
        <x:f>XLOOKUP(B78,Mapa_Selecao!$A:$A,Mapa_Selecao!$G:$G,0)</x:f>
        <x:v>0</x:v>
      </x:c>
    </x:row>
    <x:row r="79">
      <x:c r="A79" s="32" t="n">
        <x:v>76</x:v>
      </x:c>
      <x:c r="B79" s="32" t="str">
        <x:v>G5_RELFINAL</x:v>
      </x:c>
      <x:c r="C79" s="32" t="str">
        <x:v>Gate 5 — Conceito Final Aprovado</x:v>
      </x:c>
      <x:c r="D79" s="32" t="str">
        <x:v>Relatório final de conceito</x:v>
      </x:c>
      <x:c r="E79" s="32" t="str">
        <x:v>Entregável</x:v>
      </x:c>
      <x:c r="F79" s="32" t="str">
        <x:v>Consolidar todo o ciclo conceitual</x:v>
      </x:c>
      <x:c r="G79" s="32" t="str">
        <x:v>final_report</x:v>
      </x:c>
      <x:c r="H79" s="32" t="str">
        <x:v>G5_RELFINAL</x:v>
      </x:c>
      <x:c r="I79" s="32" t="n">
        <x:f>XLOOKUP(B79,Mapa_Selecao!$A:$A,Mapa_Selecao!$G:$G,0)</x:f>
        <x:v>0</x:v>
      </x:c>
    </x:row>
    <x:row r="80">
      <x:c r="A80" s="32" t="n">
        <x:v>77</x:v>
      </x:c>
      <x:c r="B80" s="32" t="str">
        <x:v>G5_TERMO</x:v>
      </x:c>
      <x:c r="C80" s="32" t="str">
        <x:v>Gate 5 — Conceito Final Aprovado</x:v>
      </x:c>
      <x:c r="D80" s="32" t="str">
        <x:v>Termo de conceito aprovado</x:v>
      </x:c>
      <x:c r="E80" s="32" t="str">
        <x:v>Entregável</x:v>
      </x:c>
      <x:c r="F80" s="32" t="str">
        <x:v>Formalizar aprovação</x:v>
      </x:c>
      <x:c r="G80" s="32" t="str">
        <x:v>approval</x:v>
      </x:c>
      <x:c r="H80" s="32" t="str">
        <x:v>G5_TERMO</x:v>
      </x:c>
      <x:c r="I80" s="32" t="n">
        <x:f>XLOOKUP(B80,Mapa_Selecao!$A:$A,Mapa_Selecao!$G:$G,0)</x:f>
        <x:v>0</x:v>
      </x:c>
    </x:row>
    <x:row r="81">
      <x:c r="A81" s="32" t="n">
        <x:v>78</x:v>
      </x:c>
      <x:c r="B81" s="32" t="str">
        <x:v>G5_TRANSFER</x:v>
      </x:c>
      <x:c r="C81" s="32" t="str">
        <x:v>Gate 5 — Conceito Final Aprovado</x:v>
      </x:c>
      <x:c r="D81" s="32" t="str">
        <x:v>Pacote de transferência conceitual</x:v>
      </x:c>
      <x:c r="E81" s="32" t="str">
        <x:v>Entregável</x:v>
      </x:c>
      <x:c r="F81" s="32" t="str">
        <x:v>Entregar informações ao time de projeto</x:v>
      </x:c>
      <x:c r="G81" s="32" t="str">
        <x:v>handoff</x:v>
      </x:c>
      <x:c r="H81" s="32" t="str">
        <x:v>G5_TRANSFER</x:v>
      </x:c>
      <x:c r="I81" s="32" t="n">
        <x:f>XLOOKUP(B81,Mapa_Selecao!$A:$A,Mapa_Selecao!$G:$G,0)</x:f>
        <x:v>0</x:v>
      </x:c>
    </x:row>
    <x:row r="82">
      <x:c r="A82" s="32" t="n">
        <x:v>79</x:v>
      </x:c>
      <x:c r="B82" s="32" t="str">
        <x:v>G5_GONOGO</x:v>
      </x:c>
      <x:c r="C82" s="32" t="str">
        <x:v>Gate 5 — Conceito Final Aprovado</x:v>
      </x:c>
      <x:c r="D82" s="32" t="str">
        <x:v>Matriz Go/No-Go — Gate 5</x:v>
      </x:c>
      <x:c r="E82" s="32" t="str">
        <x:v>Decisão</x:v>
      </x:c>
      <x:c r="F82" s="32" t="str">
        <x:v>Aprovar conceito final</x:v>
      </x:c>
      <x:c r="G82" s="32" t="str">
        <x:v>gonogo</x:v>
      </x:c>
      <x:c r="H82" s="32" t="str">
        <x:v>G5_GONOGO</x:v>
      </x:c>
      <x:c r="I82" s="32" t="n">
        <x:f>XLOOKUP(B82,Mapa_Selecao!$A:$A,Mapa_Selecao!$G:$G,0)</x:f>
        <x:v>0</x:v>
      </x:c>
    </x:row>
  </x:sheetData>
  <x:mergeCells>
    <x:mergeCell ref="A1:I1"/>
    <x:mergeCell ref="A2:I2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32" hidden="0" customWidth="1"/>
    <x:col min="3" max="3" width="40" hidden="0" customWidth="1"/>
    <x:col min="4" max="4" width="16" hidden="0" customWidth="1"/>
    <x:col min="5" max="5" width="13" hidden="0" customWidth="1"/>
    <x:col min="6" max="6" width="16" hidden="0" customWidth="1"/>
    <x:col min="7" max="7" width="18" hidden="0" customWidth="1"/>
    <x:col min="8" max="8" width="35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</x:cols>
  <x:sheetData>
    <x:row r="1">
      <x:c r="A1" s="4" t="str">
        <x:v>Mapa de seleção 0/1</x:v>
      </x:c>
      <x:c r="B1" s="4"/>
      <x:c r="C1" s="4"/>
      <x:c r="D1" s="4"/>
      <x:c r="E1" s="4"/>
      <x:c r="F1" s="4"/>
      <x:c r="G1" s="4"/>
      <x:c r="H1" s="4"/>
    </x:row>
    <x:row r="2">
      <x:c r="A2" s="11" t="str">
        <x:v>Use o código binário no Dashboard ou o override manual para definir quais abas entram na planilha final.</x:v>
      </x:c>
      <x:c r="B2" s="11"/>
      <x:c r="C2" s="11"/>
      <x:c r="D2" s="11"/>
      <x:c r="E2" s="11"/>
      <x:c r="F2" s="11"/>
      <x:c r="G2" s="11"/>
      <x:c r="H2" s="11"/>
    </x:row>
    <x:row r="3">
      <x:c r="A3" s="20" t="str">
        <x:v>Código</x:v>
      </x:c>
      <x:c r="B3" s="20" t="str">
        <x:v>Gate</x:v>
      </x:c>
      <x:c r="C3" s="20" t="str">
        <x:v>Ferramenta</x:v>
      </x:c>
      <x:c r="D3" s="20" t="str">
        <x:v>Aba</x:v>
      </x:c>
      <x:c r="E3" s="20" t="str">
        <x:v>Bit do código</x:v>
      </x:c>
      <x:c r="F3" s="20" t="str">
        <x:v>Override manual</x:v>
      </x:c>
      <x:c r="G3" s="20" t="str">
        <x:v>Selecionar efetivo</x:v>
      </x:c>
      <x:c r="H3" s="20" t="str">
        <x:v>Observação</x:v>
      </x:c>
    </x:row>
    <x:row r="4">
      <x:c r="A4" s="32" t="str">
        <x:v>G1_DECL</x:v>
      </x:c>
      <x:c r="B4" s="32" t="str">
        <x:v>Gate 1 — Oportunidade e Necessidade</x:v>
      </x:c>
      <x:c r="C4" s="32" t="str">
        <x:v>Declaração da oportunidade</x:v>
      </x:c>
      <x:c r="D4" s="32" t="str">
        <x:v>G1_DECL</x:v>
      </x:c>
      <x:c r="E4" s="32" t="n">
        <x:v>0</x:v>
      </x:c>
      <x:c r="F4" s="32"/>
      <x:c r="G4" s="32" t="n">
        <x:v>0</x:v>
      </x:c>
      <x:c r="H4" s="32" t="str"/>
    </x:row>
    <x:row r="5">
      <x:c r="A5" s="32" t="str">
        <x:v>G1_5W2H</x:v>
      </x:c>
      <x:c r="B5" s="32" t="str">
        <x:v>Gate 1 — Oportunidade e Necessidade</x:v>
      </x:c>
      <x:c r="C5" s="32" t="str">
        <x:v>5W2H da oportunidade</x:v>
      </x:c>
      <x:c r="D5" s="32" t="str">
        <x:v>G1_5W2H</x:v>
      </x:c>
      <x:c r="E5" s="32" t="n">
        <x:v>0</x:v>
      </x:c>
      <x:c r="F5" s="32"/>
      <x:c r="G5" s="32" t="n">
        <x:v>0</x:v>
      </x:c>
      <x:c r="H5" s="32" t="str"/>
    </x:row>
    <x:row r="6">
      <x:c r="A6" s="32" t="str">
        <x:v>G1_STAKE</x:v>
      </x:c>
      <x:c r="B6" s="32" t="str">
        <x:v>Gate 1 — Oportunidade e Necessidade</x:v>
      </x:c>
      <x:c r="C6" s="32" t="str">
        <x:v>Mapa de stakeholders</x:v>
      </x:c>
      <x:c r="D6" s="32" t="str">
        <x:v>G1_STAKE</x:v>
      </x:c>
      <x:c r="E6" s="32" t="n">
        <x:v>0</x:v>
      </x:c>
      <x:c r="F6" s="32"/>
      <x:c r="G6" s="32" t="n">
        <x:v>0</x:v>
      </x:c>
      <x:c r="H6" s="32" t="str"/>
    </x:row>
    <x:row r="7">
      <x:c r="A7" s="32" t="str">
        <x:v>G1_VOC</x:v>
      </x:c>
      <x:c r="B7" s="32" t="str">
        <x:v>Gate 1 — Oportunidade e Necessidade</x:v>
      </x:c>
      <x:c r="C7" s="32" t="str">
        <x:v>VOC inicial</x:v>
      </x:c>
      <x:c r="D7" s="32" t="str">
        <x:v>G1_VOC</x:v>
      </x:c>
      <x:c r="E7" s="32" t="n">
        <x:v>0</x:v>
      </x:c>
      <x:c r="F7" s="32"/>
      <x:c r="G7" s="32" t="n">
        <x:v>0</x:v>
      </x:c>
      <x:c r="H7" s="32" t="str"/>
    </x:row>
    <x:row r="8">
      <x:c r="A8" s="32" t="str">
        <x:v>G1_KOL</x:v>
      </x:c>
      <x:c r="B8" s="32" t="str">
        <x:v>Gate 1 — Oportunidade e Necessidade</x:v>
      </x:c>
      <x:c r="C8" s="32" t="str">
        <x:v>Entrevistas com usuários/KOL</x:v>
      </x:c>
      <x:c r="D8" s="32" t="str">
        <x:v>G1_KOL</x:v>
      </x:c>
      <x:c r="E8" s="32" t="n">
        <x:v>0</x:v>
      </x:c>
      <x:c r="F8" s="32"/>
      <x:c r="G8" s="32" t="n">
        <x:v>0</x:v>
      </x:c>
      <x:c r="H8" s="32" t="str"/>
    </x:row>
    <x:row r="9">
      <x:c r="A9" s="32" t="str">
        <x:v>G1_CAMPO</x:v>
      </x:c>
      <x:c r="B9" s="32" t="str">
        <x:v>Gate 1 — Oportunidade e Necessidade</x:v>
      </x:c>
      <x:c r="C9" s="32" t="str">
        <x:v>Observação em campo</x:v>
      </x:c>
      <x:c r="D9" s="32" t="str">
        <x:v>G1_CAMPO</x:v>
      </x:c>
      <x:c r="E9" s="32" t="n">
        <x:v>0</x:v>
      </x:c>
      <x:c r="F9" s="32"/>
      <x:c r="G9" s="32" t="n">
        <x:v>0</x:v>
      </x:c>
      <x:c r="H9" s="32" t="str"/>
    </x:row>
    <x:row r="10">
      <x:c r="A10" s="32" t="str">
        <x:v>G1_GAP</x:v>
      </x:c>
      <x:c r="B10" s="32" t="str">
        <x:v>Gate 1 — Oportunidade e Necessidade</x:v>
      </x:c>
      <x:c r="C10" s="32" t="str">
        <x:v>Gap Analysis</x:v>
      </x:c>
      <x:c r="D10" s="32" t="str">
        <x:v>G1_GAP</x:v>
      </x:c>
      <x:c r="E10" s="32" t="n">
        <x:v>0</x:v>
      </x:c>
      <x:c r="F10" s="32"/>
      <x:c r="G10" s="32" t="n">
        <x:v>0</x:v>
      </x:c>
      <x:c r="H10" s="32" t="str"/>
    </x:row>
    <x:row r="11">
      <x:c r="A11" s="32" t="str">
        <x:v>G1_BENCH</x:v>
      </x:c>
      <x:c r="B11" s="32" t="str">
        <x:v>Gate 1 — Oportunidade e Necessidade</x:v>
      </x:c>
      <x:c r="C11" s="32" t="str">
        <x:v>Benchmarking preliminar</x:v>
      </x:c>
      <x:c r="D11" s="32" t="str">
        <x:v>G1_BENCH</x:v>
      </x:c>
      <x:c r="E11" s="32" t="n">
        <x:v>0</x:v>
      </x:c>
      <x:c r="F11" s="32"/>
      <x:c r="G11" s="32" t="n">
        <x:v>0</x:v>
      </x:c>
      <x:c r="H11" s="32" t="str"/>
    </x:row>
    <x:row r="12">
      <x:c r="A12" s="32" t="str">
        <x:v>G1_VALOR</x:v>
      </x:c>
      <x:c r="B12" s="32" t="str">
        <x:v>Gate 1 — Oportunidade e Necessidade</x:v>
      </x:c>
      <x:c r="C12" s="32" t="str">
        <x:v>Proposta de valor inicial</x:v>
      </x:c>
      <x:c r="D12" s="32" t="str">
        <x:v>G1_VALOR</x:v>
      </x:c>
      <x:c r="E12" s="32" t="n">
        <x:v>0</x:v>
      </x:c>
      <x:c r="F12" s="32"/>
      <x:c r="G12" s="32" t="n">
        <x:v>0</x:v>
      </x:c>
      <x:c r="H12" s="32" t="str"/>
    </x:row>
    <x:row r="13">
      <x:c r="A13" s="32" t="str">
        <x:v>G1_RVV</x:v>
      </x:c>
      <x:c r="B13" s="32" t="str">
        <x:v>Gate 1 — Oportunidade e Necessidade</x:v>
      </x:c>
      <x:c r="C13" s="32" t="str">
        <x:v>Real, Vencível, Vale a pena</x:v>
      </x:c>
      <x:c r="D13" s="32" t="str">
        <x:v>G1_RVV</x:v>
      </x:c>
      <x:c r="E13" s="32" t="n">
        <x:v>0</x:v>
      </x:c>
      <x:c r="F13" s="32"/>
      <x:c r="G13" s="32" t="n">
        <x:v>0</x:v>
      </x:c>
      <x:c r="H13" s="32" t="str"/>
    </x:row>
    <x:row r="14">
      <x:c r="A14" s="32" t="str">
        <x:v>G1_INCERT</x:v>
      </x:c>
      <x:c r="B14" s="32" t="str">
        <x:v>Gate 1 — Oportunidade e Necessidade</x:v>
      </x:c>
      <x:c r="C14" s="32" t="str">
        <x:v>Mapa inicial de incertezas</x:v>
      </x:c>
      <x:c r="D14" s="32" t="str">
        <x:v>G1_INCERT</x:v>
      </x:c>
      <x:c r="E14" s="32" t="n">
        <x:v>0</x:v>
      </x:c>
      <x:c r="F14" s="32"/>
      <x:c r="G14" s="32" t="n">
        <x:v>0</x:v>
      </x:c>
      <x:c r="H14" s="32" t="str"/>
    </x:row>
    <x:row r="15">
      <x:c r="A15" s="32" t="str">
        <x:v>G1_GONOGO</x:v>
      </x:c>
      <x:c r="B15" s="32" t="str">
        <x:v>Gate 1 — Oportunidade e Necessidade</x:v>
      </x:c>
      <x:c r="C15" s="32" t="str">
        <x:v>Matriz Go/No-Go — Gate 1</x:v>
      </x:c>
      <x:c r="D15" s="32" t="str">
        <x:v>G1_GONOGO</x:v>
      </x:c>
      <x:c r="E15" s="32" t="n">
        <x:v>0</x:v>
      </x:c>
      <x:c r="F15" s="32"/>
      <x:c r="G15" s="32" t="n">
        <x:v>0</x:v>
      </x:c>
      <x:c r="H15" s="32" t="str"/>
    </x:row>
    <x:row r="16">
      <x:c r="A16" s="32" t="str">
        <x:v>G2_ROTA</x:v>
      </x:c>
      <x:c r="B16" s="32" t="str">
        <x:v>Gate 2 — Estratégia e Requisitos</x:v>
      </x:c>
      <x:c r="C16" s="32" t="str">
        <x:v>Classificação da rota de desenvolvimento</x:v>
      </x:c>
      <x:c r="D16" s="32" t="str">
        <x:v>G2_ROTA</x:v>
      </x:c>
      <x:c r="E16" s="32" t="n">
        <x:v>0</x:v>
      </x:c>
      <x:c r="F16" s="32"/>
      <x:c r="G16" s="32" t="n">
        <x:v>0</x:v>
      </x:c>
      <x:c r="H16" s="32" t="str"/>
    </x:row>
    <x:row r="17">
      <x:c r="A17" s="32" t="str">
        <x:v>G2_NECESS</x:v>
      </x:c>
      <x:c r="B17" s="32" t="str">
        <x:v>Gate 2 — Estratégia e Requisitos</x:v>
      </x:c>
      <x:c r="C17" s="32" t="str">
        <x:v>Lista de necessidades do usuário</x:v>
      </x:c>
      <x:c r="D17" s="32" t="str">
        <x:v>G2_NECESS</x:v>
      </x:c>
      <x:c r="E17" s="32" t="n">
        <x:v>0</x:v>
      </x:c>
      <x:c r="F17" s="32"/>
      <x:c r="G17" s="32" t="n">
        <x:v>0</x:v>
      </x:c>
      <x:c r="H17" s="32" t="str"/>
    </x:row>
    <x:row r="18">
      <x:c r="A18" s="32" t="str">
        <x:v>G2_PRIOR</x:v>
      </x:c>
      <x:c r="B18" s="32" t="str">
        <x:v>Gate 2 — Estratégia e Requisitos</x:v>
      </x:c>
      <x:c r="C18" s="32" t="str">
        <x:v>Priorização de necessidades</x:v>
      </x:c>
      <x:c r="D18" s="32" t="str">
        <x:v>G2_PRIOR</x:v>
      </x:c>
      <x:c r="E18" s="32" t="n">
        <x:v>0</x:v>
      </x:c>
      <x:c r="F18" s="32"/>
      <x:c r="G18" s="32" t="n">
        <x:v>0</x:v>
      </x:c>
      <x:c r="H18" s="32" t="str"/>
    </x:row>
    <x:row r="19">
      <x:c r="A19" s="32" t="str">
        <x:v>G2_USO</x:v>
      </x:c>
      <x:c r="B19" s="32" t="str">
        <x:v>Gate 2 — Estratégia e Requisitos</x:v>
      </x:c>
      <x:c r="C19" s="32" t="str">
        <x:v>Uso pretendido preliminar</x:v>
      </x:c>
      <x:c r="D19" s="32" t="str">
        <x:v>G2_USO</x:v>
      </x:c>
      <x:c r="E19" s="32" t="n">
        <x:v>0</x:v>
      </x:c>
      <x:c r="F19" s="32"/>
      <x:c r="G19" s="32" t="n">
        <x:v>0</x:v>
      </x:c>
      <x:c r="H19" s="32" t="str"/>
    </x:row>
    <x:row r="20">
      <x:c r="A20" s="32" t="str">
        <x:v>G2_USERAMB</x:v>
      </x:c>
      <x:c r="B20" s="32" t="str">
        <x:v>Gate 2 — Estratégia e Requisitos</x:v>
      </x:c>
      <x:c r="C20" s="32" t="str">
        <x:v>Perfil de usuário e ambiente</x:v>
      </x:c>
      <x:c r="D20" s="32" t="str">
        <x:v>G2_USERAMB</x:v>
      </x:c>
      <x:c r="E20" s="32" t="n">
        <x:v>0</x:v>
      </x:c>
      <x:c r="F20" s="32"/>
      <x:c r="G20" s="32" t="n">
        <x:v>0</x:v>
      </x:c>
      <x:c r="H20" s="32" t="str"/>
    </x:row>
    <x:row r="21">
      <x:c r="A21" s="32" t="str">
        <x:v>G2_QFD</x:v>
      </x:c>
      <x:c r="B21" s="32" t="str">
        <x:v>Gate 2 — Estratégia e Requisitos</x:v>
      </x:c>
      <x:c r="C21" s="32" t="str">
        <x:v>QFD conceitual — nível 1</x:v>
      </x:c>
      <x:c r="D21" s="32" t="str">
        <x:v>G2_QFD</x:v>
      </x:c>
      <x:c r="E21" s="32" t="n">
        <x:v>0</x:v>
      </x:c>
      <x:c r="F21" s="32"/>
      <x:c r="G21" s="32" t="n">
        <x:v>0</x:v>
      </x:c>
      <x:c r="H21" s="32" t="str"/>
    </x:row>
    <x:row r="22">
      <x:c r="A22" s="32" t="str">
        <x:v>G2_CTQ</x:v>
      </x:c>
      <x:c r="B22" s="32" t="str">
        <x:v>Gate 2 — Estratégia e Requisitos</x:v>
      </x:c>
      <x:c r="C22" s="32" t="str">
        <x:v>CTQ preliminar</x:v>
      </x:c>
      <x:c r="D22" s="32" t="str">
        <x:v>G2_CTQ</x:v>
      </x:c>
      <x:c r="E22" s="32" t="n">
        <x:v>0</x:v>
      </x:c>
      <x:c r="F22" s="32"/>
      <x:c r="G22" s="32" t="n">
        <x:v>0</x:v>
      </x:c>
      <x:c r="H22" s="32" t="str"/>
    </x:row>
    <x:row r="23">
      <x:c r="A23" s="32" t="str">
        <x:v>G2_OEM</x:v>
      </x:c>
      <x:c r="B23" s="32" t="str">
        <x:v>Gate 2 — Estratégia e Requisitos</x:v>
      </x:c>
      <x:c r="C23" s="32" t="str">
        <x:v>Triagem OEM / produto de mercado</x:v>
      </x:c>
      <x:c r="D23" s="32" t="str">
        <x:v>G2_OEM</x:v>
      </x:c>
      <x:c r="E23" s="32" t="n">
        <x:v>0</x:v>
      </x:c>
      <x:c r="F23" s="32"/>
      <x:c r="G23" s="32" t="n">
        <x:v>0</x:v>
      </x:c>
      <x:c r="H23" s="32" t="str"/>
    </x:row>
    <x:row r="24">
      <x:c r="A24" s="32" t="str">
        <x:v>G2_FORN</x:v>
      </x:c>
      <x:c r="B24" s="32" t="str">
        <x:v>Gate 2 — Estratégia e Requisitos</x:v>
      </x:c>
      <x:c r="C24" s="32" t="str">
        <x:v>Triagem de fornecedor externo</x:v>
      </x:c>
      <x:c r="D24" s="32" t="str">
        <x:v>G2_FORN</x:v>
      </x:c>
      <x:c r="E24" s="32" t="n">
        <x:v>0</x:v>
      </x:c>
      <x:c r="F24" s="32"/>
      <x:c r="G24" s="32" t="n">
        <x:v>0</x:v>
      </x:c>
      <x:c r="H24" s="32" t="str"/>
    </x:row>
    <x:row r="25">
      <x:c r="A25" s="32" t="str">
        <x:v>G2_CUSTOM</x:v>
      </x:c>
      <x:c r="B25" s="32" t="str">
        <x:v>Gate 2 — Estratégia e Requisitos</x:v>
      </x:c>
      <x:c r="C25" s="32" t="str">
        <x:v>Triagem de customização</x:v>
      </x:c>
      <x:c r="D25" s="32" t="str">
        <x:v>G2_CUSTOM</x:v>
      </x:c>
      <x:c r="E25" s="32" t="n">
        <x:v>0</x:v>
      </x:c>
      <x:c r="F25" s="32"/>
      <x:c r="G25" s="32" t="n">
        <x:v>0</x:v>
      </x:c>
      <x:c r="H25" s="32" t="str"/>
    </x:row>
    <x:row r="26">
      <x:c r="A26" s="32" t="str">
        <x:v>G2_SIMILAR</x:v>
      </x:c>
      <x:c r="B26" s="32" t="str">
        <x:v>Gate 2 — Estratégia e Requisitos</x:v>
      </x:c>
      <x:c r="C26" s="32" t="str">
        <x:v>Triagem de produto similar</x:v>
      </x:c>
      <x:c r="D26" s="32" t="str">
        <x:v>G2_SIMILAR</x:v>
      </x:c>
      <x:c r="E26" s="32" t="n">
        <x:v>0</x:v>
      </x:c>
      <x:c r="F26" s="32"/>
      <x:c r="G26" s="32" t="n">
        <x:v>0</x:v>
      </x:c>
      <x:c r="H26" s="32" t="str"/>
    </x:row>
    <x:row r="27">
      <x:c r="A27" s="32" t="str">
        <x:v>G2_KIT</x:v>
      </x:c>
      <x:c r="B27" s="32" t="str">
        <x:v>Gate 2 — Estratégia e Requisitos</x:v>
      </x:c>
      <x:c r="C27" s="32" t="str">
        <x:v>Triagem de kit ou acessório</x:v>
      </x:c>
      <x:c r="D27" s="32" t="str">
        <x:v>G2_KIT</x:v>
      </x:c>
      <x:c r="E27" s="32" t="n">
        <x:v>0</x:v>
      </x:c>
      <x:c r="F27" s="32"/>
      <x:c r="G27" s="32" t="n">
        <x:v>0</x:v>
      </x:c>
      <x:c r="H27" s="32" t="str"/>
    </x:row>
    <x:row r="28">
      <x:c r="A28" s="32" t="str">
        <x:v>G2_INTER</x:v>
      </x:c>
      <x:c r="B28" s="32" t="str">
        <x:v>Gate 2 — Estratégia e Requisitos</x:v>
      </x:c>
      <x:c r="C28" s="32" t="str">
        <x:v>Triagem de internalização/nacionalização</x:v>
      </x:c>
      <x:c r="D28" s="32" t="str">
        <x:v>G2_INTER</x:v>
      </x:c>
      <x:c r="E28" s="32" t="n">
        <x:v>0</x:v>
      </x:c>
      <x:c r="F28" s="32"/>
      <x:c r="G28" s="32" t="n">
        <x:v>0</x:v>
      </x:c>
      <x:c r="H28" s="32" t="str"/>
    </x:row>
    <x:row r="29">
      <x:c r="A29" s="32" t="str">
        <x:v>G2_REG</x:v>
      </x:c>
      <x:c r="B29" s="32" t="str">
        <x:v>Gate 2 — Estratégia e Requisitos</x:v>
      </x:c>
      <x:c r="C29" s="32" t="str">
        <x:v>Triagem regulatória preliminar</x:v>
      </x:c>
      <x:c r="D29" s="32" t="str">
        <x:v>G2_REG</x:v>
      </x:c>
      <x:c r="E29" s="32" t="n">
        <x:v>0</x:v>
      </x:c>
      <x:c r="F29" s="32"/>
      <x:c r="G29" s="32" t="n">
        <x:v>0</x:v>
      </x:c>
      <x:c r="H29" s="32" t="str"/>
    </x:row>
    <x:row r="30">
      <x:c r="A30" s="32" t="str">
        <x:v>G2_CONTATO</x:v>
      </x:c>
      <x:c r="B30" s="32" t="str">
        <x:v>Gate 2 — Estratégia e Requisitos</x:v>
      </x:c>
      <x:c r="C30" s="32" t="str">
        <x:v>Triagem de contato com paciente</x:v>
      </x:c>
      <x:c r="D30" s="32" t="str">
        <x:v>G2_CONTATO</x:v>
      </x:c>
      <x:c r="E30" s="32" t="n">
        <x:v>0</x:v>
      </x:c>
      <x:c r="F30" s="32"/>
      <x:c r="G30" s="32" t="n">
        <x:v>0</x:v>
      </x:c>
      <x:c r="H30" s="32" t="str"/>
    </x:row>
    <x:row r="31">
      <x:c r="A31" s="32" t="str">
        <x:v>G2_ESTERIL</x:v>
      </x:c>
      <x:c r="B31" s="32" t="str">
        <x:v>Gate 2 — Estratégia e Requisitos</x:v>
      </x:c>
      <x:c r="C31" s="32" t="str">
        <x:v>Triagem de esterilidade</x:v>
      </x:c>
      <x:c r="D31" s="32" t="str">
        <x:v>G2_ESTERIL</x:v>
      </x:c>
      <x:c r="E31" s="32" t="n">
        <x:v>0</x:v>
      </x:c>
      <x:c r="F31" s="32"/>
      <x:c r="G31" s="32" t="n">
        <x:v>0</x:v>
      </x:c>
      <x:c r="H31" s="32" t="str"/>
    </x:row>
    <x:row r="32">
      <x:c r="A32" s="32" t="str">
        <x:v>G2_USOCRIT</x:v>
      </x:c>
      <x:c r="B32" s="32" t="str">
        <x:v>Gate 2 — Estratégia e Requisitos</x:v>
      </x:c>
      <x:c r="C32" s="32" t="str">
        <x:v>Triagem de uso crítico</x:v>
      </x:c>
      <x:c r="D32" s="32" t="str">
        <x:v>G2_USOCRIT</x:v>
      </x:c>
      <x:c r="E32" s="32" t="n">
        <x:v>0</x:v>
      </x:c>
      <x:c r="F32" s="32"/>
      <x:c r="G32" s="32" t="n">
        <x:v>0</x:v>
      </x:c>
      <x:c r="H32" s="32" t="str"/>
    </x:row>
    <x:row r="33">
      <x:c r="A33" s="32" t="str">
        <x:v>G2_PROD</x:v>
      </x:c>
      <x:c r="B33" s="32" t="str">
        <x:v>Gate 2 — Estratégia e Requisitos</x:v>
      </x:c>
      <x:c r="C33" s="32" t="str">
        <x:v>Triagem produtiva conceitual</x:v>
      </x:c>
      <x:c r="D33" s="32" t="str">
        <x:v>G2_PROD</x:v>
      </x:c>
      <x:c r="E33" s="32" t="n">
        <x:v>0</x:v>
      </x:c>
      <x:c r="F33" s="32"/>
      <x:c r="G33" s="32" t="n">
        <x:v>0</x:v>
      </x:c>
      <x:c r="H33" s="32" t="str"/>
    </x:row>
    <x:row r="34">
      <x:c r="A34" s="32" t="str">
        <x:v>G2_ECON</x:v>
      </x:c>
      <x:c r="B34" s="32" t="str">
        <x:v>Gate 2 — Estratégia e Requisitos</x:v>
      </x:c>
      <x:c r="C34" s="32" t="str">
        <x:v>Triagem econômica preliminar</x:v>
      </x:c>
      <x:c r="D34" s="32" t="str">
        <x:v>G2_ECON</x:v>
      </x:c>
      <x:c r="E34" s="32" t="n">
        <x:v>0</x:v>
      </x:c>
      <x:c r="F34" s="32"/>
      <x:c r="G34" s="32" t="n">
        <x:v>0</x:v>
      </x:c>
      <x:c r="H34" s="32" t="str"/>
    </x:row>
    <x:row r="35">
      <x:c r="A35" s="32" t="str">
        <x:v>G2_BUSCAEXT</x:v>
      </x:c>
      <x:c r="B35" s="32" t="str">
        <x:v>Gate 2 — Estratégia e Requisitos</x:v>
      </x:c>
      <x:c r="C35" s="32" t="str">
        <x:v>Busca externa de soluções</x:v>
      </x:c>
      <x:c r="D35" s="32" t="str">
        <x:v>G2_BUSCAEXT</x:v>
      </x:c>
      <x:c r="E35" s="32" t="n">
        <x:v>0</x:v>
      </x:c>
      <x:c r="F35" s="32"/>
      <x:c r="G35" s="32" t="n">
        <x:v>0</x:v>
      </x:c>
      <x:c r="H35" s="32" t="str"/>
    </x:row>
    <x:row r="36">
      <x:c r="A36" s="32" t="str">
        <x:v>G2_INCERT</x:v>
      </x:c>
      <x:c r="B36" s="32" t="str">
        <x:v>Gate 2 — Estratégia e Requisitos</x:v>
      </x:c>
      <x:c r="C36" s="32" t="str">
        <x:v>Mapa atualizado de incertezas</x:v>
      </x:c>
      <x:c r="D36" s="32" t="str">
        <x:v>G2_INCERT</x:v>
      </x:c>
      <x:c r="E36" s="32" t="n">
        <x:v>0</x:v>
      </x:c>
      <x:c r="F36" s="32"/>
      <x:c r="G36" s="32" t="n">
        <x:v>0</x:v>
      </x:c>
      <x:c r="H36" s="32" t="str"/>
    </x:row>
    <x:row r="37">
      <x:c r="A37" s="32" t="str">
        <x:v>G2_APREND</x:v>
      </x:c>
      <x:c r="B37" s="32" t="str">
        <x:v>Gate 2 — Estratégia e Requisitos</x:v>
      </x:c>
      <x:c r="C37" s="32" t="str">
        <x:v>Plano de aprendizagem do conceito</x:v>
      </x:c>
      <x:c r="D37" s="32" t="str">
        <x:v>G2_APREND</x:v>
      </x:c>
      <x:c r="E37" s="32" t="n">
        <x:v>0</x:v>
      </x:c>
      <x:c r="F37" s="32"/>
      <x:c r="G37" s="32" t="n">
        <x:v>0</x:v>
      </x:c>
      <x:c r="H37" s="32" t="str"/>
    </x:row>
    <x:row r="38">
      <x:c r="A38" s="32" t="str">
        <x:v>G2_GONOGO</x:v>
      </x:c>
      <x:c r="B38" s="32" t="str">
        <x:v>Gate 2 — Estratégia e Requisitos</x:v>
      </x:c>
      <x:c r="C38" s="32" t="str">
        <x:v>Matriz Go/No-Go — Gate 2</x:v>
      </x:c>
      <x:c r="D38" s="32" t="str">
        <x:v>G2_GONOGO</x:v>
      </x:c>
      <x:c r="E38" s="32" t="n">
        <x:v>0</x:v>
      </x:c>
      <x:c r="F38" s="32"/>
      <x:c r="G38" s="32" t="n">
        <x:v>0</x:v>
      </x:c>
      <x:c r="H38" s="32" t="str"/>
    </x:row>
    <x:row r="39">
      <x:c r="A39" s="32" t="str">
        <x:v>G3_BUSCAINT</x:v>
      </x:c>
      <x:c r="B39" s="32" t="str">
        <x:v>Gate 3 — Geração de Alternativas</x:v>
      </x:c>
      <x:c r="C39" s="32" t="str">
        <x:v>Busca interna de soluções</x:v>
      </x:c>
      <x:c r="D39" s="32" t="str">
        <x:v>G3_BUSCAINT</x:v>
      </x:c>
      <x:c r="E39" s="32" t="n">
        <x:v>0</x:v>
      </x:c>
      <x:c r="F39" s="32"/>
      <x:c r="G39" s="32" t="n">
        <x:v>0</x:v>
      </x:c>
      <x:c r="H39" s="32" t="str"/>
    </x:row>
    <x:row r="40">
      <x:c r="A40" s="32" t="str">
        <x:v>G3_BUSCAEXT</x:v>
      </x:c>
      <x:c r="B40" s="32" t="str">
        <x:v>Gate 3 — Geração de Alternativas</x:v>
      </x:c>
      <x:c r="C40" s="32" t="str">
        <x:v>Busca externa de soluções</x:v>
      </x:c>
      <x:c r="D40" s="32" t="str">
        <x:v>G3_BUSCAEXT</x:v>
      </x:c>
      <x:c r="E40" s="32" t="n">
        <x:v>0</x:v>
      </x:c>
      <x:c r="F40" s="32"/>
      <x:c r="G40" s="32" t="n">
        <x:v>0</x:v>
      </x:c>
      <x:c r="H40" s="32" t="str"/>
    </x:row>
    <x:row r="41">
      <x:c r="A41" s="32" t="str">
        <x:v>G3_MENTAL</x:v>
      </x:c>
      <x:c r="B41" s="32" t="str">
        <x:v>Gate 3 — Geração de Alternativas</x:v>
      </x:c>
      <x:c r="C41" s="32" t="str">
        <x:v>Mapa mental</x:v>
      </x:c>
      <x:c r="D41" s="32" t="str">
        <x:v>G3_MENTAL</x:v>
      </x:c>
      <x:c r="E41" s="32" t="n">
        <x:v>0</x:v>
      </x:c>
      <x:c r="F41" s="32"/>
      <x:c r="G41" s="32" t="n">
        <x:v>0</x:v>
      </x:c>
      <x:c r="H41" s="32" t="str"/>
    </x:row>
    <x:row r="42">
      <x:c r="A42" s="32" t="str">
        <x:v>G3_DECOMP</x:v>
      </x:c>
      <x:c r="B42" s="32" t="str">
        <x:v>Gate 3 — Geração de Alternativas</x:v>
      </x:c>
      <x:c r="C42" s="32" t="str">
        <x:v>Decomposição funcional</x:v>
      </x:c>
      <x:c r="D42" s="32" t="str">
        <x:v>G3_DECOMP</x:v>
      </x:c>
      <x:c r="E42" s="32" t="n">
        <x:v>0</x:v>
      </x:c>
      <x:c r="F42" s="32"/>
      <x:c r="G42" s="32" t="n">
        <x:v>0</x:v>
      </x:c>
      <x:c r="H42" s="32" t="str"/>
    </x:row>
    <x:row r="43">
      <x:c r="A43" s="32" t="str">
        <x:v>G3_BRAIN</x:v>
      </x:c>
      <x:c r="B43" s="32" t="str">
        <x:v>Gate 3 — Geração de Alternativas</x:v>
      </x:c>
      <x:c r="C43" s="32" t="str">
        <x:v>Brainstorming estruturado</x:v>
      </x:c>
      <x:c r="D43" s="32" t="str">
        <x:v>G3_BRAIN</x:v>
      </x:c>
      <x:c r="E43" s="32" t="n">
        <x:v>0</x:v>
      </x:c>
      <x:c r="F43" s="32"/>
      <x:c r="G43" s="32" t="n">
        <x:v>0</x:v>
      </x:c>
      <x:c r="H43" s="32" t="str"/>
    </x:row>
    <x:row r="44">
      <x:c r="A44" s="32" t="str">
        <x:v>G3_SCAMPER</x:v>
      </x:c>
      <x:c r="B44" s="32" t="str">
        <x:v>Gate 3 — Geração de Alternativas</x:v>
      </x:c>
      <x:c r="C44" s="32" t="str">
        <x:v>SCAMPER</x:v>
      </x:c>
      <x:c r="D44" s="32" t="str">
        <x:v>G3_SCAMPER</x:v>
      </x:c>
      <x:c r="E44" s="32" t="n">
        <x:v>0</x:v>
      </x:c>
      <x:c r="F44" s="32"/>
      <x:c r="G44" s="32" t="n">
        <x:v>0</x:v>
      </x:c>
      <x:c r="H44" s="32" t="str"/>
    </x:row>
    <x:row r="45">
      <x:c r="A45" s="32" t="str">
        <x:v>G3_TRIZ</x:v>
      </x:c>
      <x:c r="B45" s="32" t="str">
        <x:v>Gate 3 — Geração de Alternativas</x:v>
      </x:c>
      <x:c r="C45" s="32" t="str">
        <x:v>TRIZ conceitual</x:v>
      </x:c>
      <x:c r="D45" s="32" t="str">
        <x:v>G3_TRIZ</x:v>
      </x:c>
      <x:c r="E45" s="32" t="n">
        <x:v>0</x:v>
      </x:c>
      <x:c r="F45" s="32"/>
      <x:c r="G45" s="32" t="n">
        <x:v>0</x:v>
      </x:c>
      <x:c r="H45" s="32" t="str"/>
    </x:row>
    <x:row r="46">
      <x:c r="A46" s="32" t="str">
        <x:v>G3_MORFO</x:v>
      </x:c>
      <x:c r="B46" s="32" t="str">
        <x:v>Gate 3 — Geração de Alternativas</x:v>
      </x:c>
      <x:c r="C46" s="32" t="str">
        <x:v>Matriz morfológica</x:v>
      </x:c>
      <x:c r="D46" s="32" t="str">
        <x:v>G3_MORFO</x:v>
      </x:c>
      <x:c r="E46" s="32" t="n">
        <x:v>0</x:v>
      </x:c>
      <x:c r="F46" s="32"/>
      <x:c r="G46" s="32" t="n">
        <x:v>0</x:v>
      </x:c>
      <x:c r="H46" s="32" t="str"/>
    </x:row>
    <x:row r="47">
      <x:c r="A47" s="32" t="str">
        <x:v>G3_ARVORE</x:v>
      </x:c>
      <x:c r="B47" s="32" t="str">
        <x:v>Gate 3 — Geração de Alternativas</x:v>
      </x:c>
      <x:c r="C47" s="32" t="str">
        <x:v>Árvore de classificação de conceitos</x:v>
      </x:c>
      <x:c r="D47" s="32" t="str">
        <x:v>G3_ARVORE</x:v>
      </x:c>
      <x:c r="E47" s="32" t="n">
        <x:v>0</x:v>
      </x:c>
      <x:c r="F47" s="32"/>
      <x:c r="G47" s="32" t="n">
        <x:v>0</x:v>
      </x:c>
      <x:c r="H47" s="32" t="str"/>
    </x:row>
    <x:row r="48">
      <x:c r="A48" s="32" t="str">
        <x:v>G3_COMBO</x:v>
      </x:c>
      <x:c r="B48" s="32" t="str">
        <x:v>Gate 3 — Geração de Alternativas</x:v>
      </x:c>
      <x:c r="C48" s="32" t="str">
        <x:v>Tabela de combinação de conceitos</x:v>
      </x:c>
      <x:c r="D48" s="32" t="str">
        <x:v>G3_COMBO</x:v>
      </x:c>
      <x:c r="E48" s="32" t="n">
        <x:v>0</x:v>
      </x:c>
      <x:c r="F48" s="32"/>
      <x:c r="G48" s="32" t="n">
        <x:v>0</x:v>
      </x:c>
      <x:c r="H48" s="32" t="str"/>
    </x:row>
    <x:row r="49">
      <x:c r="A49" s="32" t="str">
        <x:v>G3_SKETCH</x:v>
      </x:c>
      <x:c r="B49" s="32" t="str">
        <x:v>Gate 3 — Geração de Alternativas</x:v>
      </x:c>
      <x:c r="C49" s="32" t="str">
        <x:v>Sketch conceitual</x:v>
      </x:c>
      <x:c r="D49" s="32" t="str">
        <x:v>G3_SKETCH</x:v>
      </x:c>
      <x:c r="E49" s="32" t="n">
        <x:v>0</x:v>
      </x:c>
      <x:c r="F49" s="32"/>
      <x:c r="G49" s="32" t="n">
        <x:v>0</x:v>
      </x:c>
      <x:c r="H49" s="32" t="str"/>
    </x:row>
    <x:row r="50">
      <x:c r="A50" s="32" t="str">
        <x:v>G3_STORY</x:v>
      </x:c>
      <x:c r="B50" s="32" t="str">
        <x:v>Gate 3 — Geração de Alternativas</x:v>
      </x:c>
      <x:c r="C50" s="32" t="str">
        <x:v>Storyboard de uso</x:v>
      </x:c>
      <x:c r="D50" s="32" t="str">
        <x:v>G3_STORY</x:v>
      </x:c>
      <x:c r="E50" s="32" t="n">
        <x:v>0</x:v>
      </x:c>
      <x:c r="F50" s="32"/>
      <x:c r="G50" s="32" t="n">
        <x:v>0</x:v>
      </x:c>
      <x:c r="H50" s="32" t="str"/>
    </x:row>
    <x:row r="51">
      <x:c r="A51" s="32" t="str">
        <x:v>G3_PROTO</x:v>
      </x:c>
      <x:c r="B51" s="32" t="str">
        <x:v>Gate 3 — Geração de Alternativas</x:v>
      </x:c>
      <x:c r="C51" s="32" t="str">
        <x:v>Prototipagem conceitual simples</x:v>
      </x:c>
      <x:c r="D51" s="32" t="str">
        <x:v>G3_PROTO</x:v>
      </x:c>
      <x:c r="E51" s="32" t="n">
        <x:v>0</x:v>
      </x:c>
      <x:c r="F51" s="32"/>
      <x:c r="G51" s="32" t="n">
        <x:v>0</x:v>
      </x:c>
      <x:c r="H51" s="32" t="str"/>
    </x:row>
    <x:row r="52">
      <x:c r="A52" s="32" t="str">
        <x:v>G3_PROVA</x:v>
      </x:c>
      <x:c r="B52" s="32" t="str">
        <x:v>Gate 3 — Geração de Alternativas</x:v>
      </x:c>
      <x:c r="C52" s="32" t="str">
        <x:v>Prova de princípio simples</x:v>
      </x:c>
      <x:c r="D52" s="32" t="str">
        <x:v>G3_PROVA</x:v>
      </x:c>
      <x:c r="E52" s="32" t="n">
        <x:v>0</x:v>
      </x:c>
      <x:c r="F52" s="32"/>
      <x:c r="G52" s="32" t="n">
        <x:v>0</x:v>
      </x:c>
      <x:c r="H52" s="32" t="str"/>
    </x:row>
    <x:row r="53">
      <x:c r="A53" s="32" t="str">
        <x:v>G3_GONOGO</x:v>
      </x:c>
      <x:c r="B53" s="32" t="str">
        <x:v>Gate 3 — Geração de Alternativas</x:v>
      </x:c>
      <x:c r="C53" s="32" t="str">
        <x:v>Matriz Go/No-Go — Gate 3</x:v>
      </x:c>
      <x:c r="D53" s="32" t="str">
        <x:v>G3_GONOGO</x:v>
      </x:c>
      <x:c r="E53" s="32" t="n">
        <x:v>0</x:v>
      </x:c>
      <x:c r="F53" s="32"/>
      <x:c r="G53" s="32" t="n">
        <x:v>0</x:v>
      </x:c>
      <x:c r="H53" s="32" t="str"/>
    </x:row>
    <x:row r="54">
      <x:c r="A54" s="32" t="str">
        <x:v>G4_CRIT</x:v>
      </x:c>
      <x:c r="B54" s="32" t="str">
        <x:v>Gate 4 — Seleção e Teste</x:v>
      </x:c>
      <x:c r="C54" s="32" t="str">
        <x:v>Critérios de seleção do conceito</x:v>
      </x:c>
      <x:c r="D54" s="32" t="str">
        <x:v>G4_CRIT</x:v>
      </x:c>
      <x:c r="E54" s="32" t="n">
        <x:v>0</x:v>
      </x:c>
      <x:c r="F54" s="32"/>
      <x:c r="G54" s="32" t="n">
        <x:v>0</x:v>
      </x:c>
      <x:c r="H54" s="32" t="str"/>
    </x:row>
    <x:row r="55">
      <x:c r="A55" s="32" t="str">
        <x:v>G4_REF</x:v>
      </x:c>
      <x:c r="B55" s="32" t="str">
        <x:v>Gate 4 — Seleção e Teste</x:v>
      </x:c>
      <x:c r="C55" s="32" t="str">
        <x:v>Conceito de referência</x:v>
      </x:c>
      <x:c r="D55" s="32" t="str">
        <x:v>G4_REF</x:v>
      </x:c>
      <x:c r="E55" s="32" t="n">
        <x:v>0</x:v>
      </x:c>
      <x:c r="F55" s="32"/>
      <x:c r="G55" s="32" t="n">
        <x:v>0</x:v>
      </x:c>
      <x:c r="H55" s="32" t="str"/>
    </x:row>
    <x:row r="56">
      <x:c r="A56" s="32" t="str">
        <x:v>G4_TRIAGEM</x:v>
      </x:c>
      <x:c r="B56" s="32" t="str">
        <x:v>Gate 4 — Seleção e Teste</x:v>
      </x:c>
      <x:c r="C56" s="32" t="str">
        <x:v>Matriz de triagem de conceitos</x:v>
      </x:c>
      <x:c r="D56" s="32" t="str">
        <x:v>G4_TRIAGEM</x:v>
      </x:c>
      <x:c r="E56" s="32" t="n">
        <x:v>0</x:v>
      </x:c>
      <x:c r="F56" s="32"/>
      <x:c r="G56" s="32" t="n">
        <x:v>0</x:v>
      </x:c>
      <x:c r="H56" s="32" t="str"/>
    </x:row>
    <x:row r="57">
      <x:c r="A57" s="32" t="str">
        <x:v>G4_PUGH</x:v>
      </x:c>
      <x:c r="B57" s="32" t="str">
        <x:v>Gate 4 — Seleção e Teste</x:v>
      </x:c>
      <x:c r="C57" s="32" t="str">
        <x:v>Matriz de Pugh</x:v>
      </x:c>
      <x:c r="D57" s="32" t="str">
        <x:v>G4_PUGH</x:v>
      </x:c>
      <x:c r="E57" s="32" t="n">
        <x:v>0</x:v>
      </x:c>
      <x:c r="F57" s="32"/>
      <x:c r="G57" s="32" t="n">
        <x:v>0</x:v>
      </x:c>
      <x:c r="H57" s="32" t="str"/>
    </x:row>
    <x:row r="58">
      <x:c r="A58" s="32" t="str">
        <x:v>G4_PONDER</x:v>
      </x:c>
      <x:c r="B58" s="32" t="str">
        <x:v>Gate 4 — Seleção e Teste</x:v>
      </x:c>
      <x:c r="C58" s="32" t="str">
        <x:v>Matriz de decisão ponderada</x:v>
      </x:c>
      <x:c r="D58" s="32" t="str">
        <x:v>G4_PONDER</x:v>
      </x:c>
      <x:c r="E58" s="32" t="n">
        <x:v>0</x:v>
      </x:c>
      <x:c r="F58" s="32"/>
      <x:c r="G58" s="32" t="n">
        <x:v>0</x:v>
      </x:c>
      <x:c r="H58" s="32" t="str"/>
    </x:row>
    <x:row r="59">
      <x:c r="A59" s="32" t="str">
        <x:v>G4_TRADE</x:v>
      </x:c>
      <x:c r="B59" s="32" t="str">
        <x:v>Gate 4 — Seleção e Teste</x:v>
      </x:c>
      <x:c r="C59" s="32" t="str">
        <x:v>Trade-off conceitual</x:v>
      </x:c>
      <x:c r="D59" s="32" t="str">
        <x:v>G4_TRADE</x:v>
      </x:c>
      <x:c r="E59" s="32" t="n">
        <x:v>0</x:v>
      </x:c>
      <x:c r="F59" s="32"/>
      <x:c r="G59" s="32" t="n">
        <x:v>0</x:v>
      </x:c>
      <x:c r="H59" s="32" t="str"/>
    </x:row>
    <x:row r="60">
      <x:c r="A60" s="32" t="str">
        <x:v>G4_NEC_CONC</x:v>
      </x:c>
      <x:c r="B60" s="32" t="str">
        <x:v>Gate 4 — Seleção e Teste</x:v>
      </x:c>
      <x:c r="C60" s="32" t="str">
        <x:v>Matriz necessidade × conceito</x:v>
      </x:c>
      <x:c r="D60" s="32" t="str">
        <x:v>G4_NEC_CONC</x:v>
      </x:c>
      <x:c r="E60" s="32" t="n">
        <x:v>0</x:v>
      </x:c>
      <x:c r="F60" s="32"/>
      <x:c r="G60" s="32" t="n">
        <x:v>0</x:v>
      </x:c>
      <x:c r="H60" s="32" t="str"/>
    </x:row>
    <x:row r="61">
      <x:c r="A61" s="32" t="str">
        <x:v>G4_CTQ_CONC</x:v>
      </x:c>
      <x:c r="B61" s="32" t="str">
        <x:v>Gate 4 — Seleção e Teste</x:v>
      </x:c>
      <x:c r="C61" s="32" t="str">
        <x:v>Matriz CTQ × conceito</x:v>
      </x:c>
      <x:c r="D61" s="32" t="str">
        <x:v>G4_CTQ_CONC</x:v>
      </x:c>
      <x:c r="E61" s="32" t="n">
        <x:v>0</x:v>
      </x:c>
      <x:c r="F61" s="32"/>
      <x:c r="G61" s="32" t="n">
        <x:v>0</x:v>
      </x:c>
      <x:c r="H61" s="32" t="str"/>
    </x:row>
    <x:row r="62">
      <x:c r="A62" s="32" t="str">
        <x:v>G4_ATRAT</x:v>
      </x:c>
      <x:c r="B62" s="32" t="str">
        <x:v>Gate 4 — Seleção e Teste</x:v>
      </x:c>
      <x:c r="C62" s="32" t="str">
        <x:v>Atratividade do conceito</x:v>
      </x:c>
      <x:c r="D62" s="32" t="str">
        <x:v>G4_ATRAT</x:v>
      </x:c>
      <x:c r="E62" s="32" t="n">
        <x:v>0</x:v>
      </x:c>
      <x:c r="F62" s="32"/>
      <x:c r="G62" s="32" t="n">
        <x:v>0</x:v>
      </x:c>
      <x:c r="H62" s="32" t="str"/>
    </x:row>
    <x:row r="63">
      <x:c r="A63" s="32" t="str">
        <x:v>G4_TESTE</x:v>
      </x:c>
      <x:c r="B63" s="32" t="str">
        <x:v>Gate 4 — Seleção e Teste</x:v>
      </x:c>
      <x:c r="C63" s="32" t="str">
        <x:v>Teste de conceito preliminar</x:v>
      </x:c>
      <x:c r="D63" s="32" t="str">
        <x:v>G4_TESTE</x:v>
      </x:c>
      <x:c r="E63" s="32" t="n">
        <x:v>0</x:v>
      </x:c>
      <x:c r="F63" s="32"/>
      <x:c r="G63" s="32" t="n">
        <x:v>0</x:v>
      </x:c>
      <x:c r="H63" s="32" t="str"/>
    </x:row>
    <x:row r="64">
      <x:c r="A64" s="32" t="str">
        <x:v>G4_PROTO</x:v>
      </x:c>
      <x:c r="B64" s="32" t="str">
        <x:v>Gate 4 — Seleção e Teste</x:v>
      </x:c>
      <x:c r="C64" s="32" t="str">
        <x:v>Prototipagem conceitual de apoio</x:v>
      </x:c>
      <x:c r="D64" s="32" t="str">
        <x:v>G4_PROTO</x:v>
      </x:c>
      <x:c r="E64" s="32" t="n">
        <x:v>0</x:v>
      </x:c>
      <x:c r="F64" s="32"/>
      <x:c r="G64" s="32" t="n">
        <x:v>0</x:v>
      </x:c>
      <x:c r="H64" s="32" t="str"/>
    </x:row>
    <x:row r="65">
      <x:c r="A65" s="32" t="str">
        <x:v>G4_SCORE</x:v>
      </x:c>
      <x:c r="B65" s="32" t="str">
        <x:v>Gate 4 — Seleção e Teste</x:v>
      </x:c>
      <x:c r="C65" s="32" t="str">
        <x:v>Scorecard de conceito</x:v>
      </x:c>
      <x:c r="D65" s="32" t="str">
        <x:v>G4_SCORE</x:v>
      </x:c>
      <x:c r="E65" s="32" t="n">
        <x:v>0</x:v>
      </x:c>
      <x:c r="F65" s="32"/>
      <x:c r="G65" s="32" t="n">
        <x:v>0</x:v>
      </x:c>
      <x:c r="H65" s="32" t="str"/>
    </x:row>
    <x:row r="66">
      <x:c r="A66" s="32" t="str">
        <x:v>G4_INCERT</x:v>
      </x:c>
      <x:c r="B66" s="32" t="str">
        <x:v>Gate 4 — Seleção e Teste</x:v>
      </x:c>
      <x:c r="C66" s="32" t="str">
        <x:v>Mapa de incertezas do conceito selecionado</x:v>
      </x:c>
      <x:c r="D66" s="32" t="str">
        <x:v>G4_INCERT</x:v>
      </x:c>
      <x:c r="E66" s="32" t="n">
        <x:v>0</x:v>
      </x:c>
      <x:c r="F66" s="32"/>
      <x:c r="G66" s="32" t="n">
        <x:v>0</x:v>
      </x:c>
      <x:c r="H66" s="32" t="str"/>
    </x:row>
    <x:row r="67">
      <x:c r="A67" s="32" t="str">
        <x:v>G4_GONOGO</x:v>
      </x:c>
      <x:c r="B67" s="32" t="str">
        <x:v>Gate 4 — Seleção e Teste</x:v>
      </x:c>
      <x:c r="C67" s="32" t="str">
        <x:v>Matriz Go/No-Go — Gate 4</x:v>
      </x:c>
      <x:c r="D67" s="32" t="str">
        <x:v>G4_GONOGO</x:v>
      </x:c>
      <x:c r="E67" s="32" t="n">
        <x:v>0</x:v>
      </x:c>
      <x:c r="F67" s="32"/>
      <x:c r="G67" s="32" t="n">
        <x:v>0</x:v>
      </x:c>
      <x:c r="H67" s="32" t="str"/>
    </x:row>
    <x:row r="68">
      <x:c r="A68" s="32" t="str">
        <x:v>G5_MISSAO</x:v>
      </x:c>
      <x:c r="B68" s="32" t="str">
        <x:v>Gate 5 — Conceito Final Aprovado</x:v>
      </x:c>
      <x:c r="C68" s="32" t="str">
        <x:v>Declaração de missão do conceito</x:v>
      </x:c>
      <x:c r="D68" s="32" t="str">
        <x:v>G5_MISSAO</x:v>
      </x:c>
      <x:c r="E68" s="32" t="n">
        <x:v>0</x:v>
      </x:c>
      <x:c r="F68" s="32"/>
      <x:c r="G68" s="32" t="n">
        <x:v>0</x:v>
      </x:c>
      <x:c r="H68" s="32" t="str"/>
    </x:row>
    <x:row r="69">
      <x:c r="A69" s="32" t="str">
        <x:v>G5_REQ</x:v>
      </x:c>
      <x:c r="B69" s="32" t="str">
        <x:v>Gate 5 — Conceito Final Aprovado</x:v>
      </x:c>
      <x:c r="C69" s="32" t="str">
        <x:v>Requisitos conceituais preliminares</x:v>
      </x:c>
      <x:c r="D69" s="32" t="str">
        <x:v>G5_REQ</x:v>
      </x:c>
      <x:c r="E69" s="32" t="n">
        <x:v>0</x:v>
      </x:c>
      <x:c r="F69" s="32"/>
      <x:c r="G69" s="32" t="n">
        <x:v>0</x:v>
      </x:c>
      <x:c r="H69" s="32" t="str"/>
    </x:row>
    <x:row r="70">
      <x:c r="A70" s="32" t="str">
        <x:v>G5_UNS</x:v>
      </x:c>
      <x:c r="B70" s="32" t="str">
        <x:v>Gate 5 — Conceito Final Aprovado</x:v>
      </x:c>
      <x:c r="C70" s="32" t="str">
        <x:v>User Needs Statement</x:v>
      </x:c>
      <x:c r="D70" s="32" t="str">
        <x:v>G5_UNS</x:v>
      </x:c>
      <x:c r="E70" s="32" t="n">
        <x:v>0</x:v>
      </x:c>
      <x:c r="F70" s="32"/>
      <x:c r="G70" s="32" t="n">
        <x:v>0</x:v>
      </x:c>
      <x:c r="H70" s="32" t="str"/>
    </x:row>
    <x:row r="71">
      <x:c r="A71" s="32" t="str">
        <x:v>G5_CTQ</x:v>
      </x:c>
      <x:c r="B71" s="32" t="str">
        <x:v>Gate 5 — Conceito Final Aprovado</x:v>
      </x:c>
      <x:c r="C71" s="32" t="str">
        <x:v>CTQ consolidado do conceito</x:v>
      </x:c>
      <x:c r="D71" s="32" t="str">
        <x:v>G5_CTQ</x:v>
      </x:c>
      <x:c r="E71" s="32" t="n">
        <x:v>0</x:v>
      </x:c>
      <x:c r="F71" s="32"/>
      <x:c r="G71" s="32" t="n">
        <x:v>0</x:v>
      </x:c>
      <x:c r="H71" s="32" t="str"/>
    </x:row>
    <x:row r="72">
      <x:c r="A72" s="32" t="str">
        <x:v>G5_QFD</x:v>
      </x:c>
      <x:c r="B72" s="32" t="str">
        <x:v>Gate 5 — Conceito Final Aprovado</x:v>
      </x:c>
      <x:c r="C72" s="32" t="str">
        <x:v>QFD conceitual consolidado</x:v>
      </x:c>
      <x:c r="D72" s="32" t="str">
        <x:v>G5_QFD</x:v>
      </x:c>
      <x:c r="E72" s="32" t="n">
        <x:v>0</x:v>
      </x:c>
      <x:c r="F72" s="32"/>
      <x:c r="G72" s="32" t="n">
        <x:v>0</x:v>
      </x:c>
      <x:c r="H72" s="32" t="str"/>
    </x:row>
    <x:row r="73">
      <x:c r="A73" s="32" t="str">
        <x:v>G5_CLAIMS</x:v>
      </x:c>
      <x:c r="B73" s="32" t="str">
        <x:v>Gate 5 — Conceito Final Aprovado</x:v>
      </x:c>
      <x:c r="C73" s="32" t="str">
        <x:v>Claims pretendidos</x:v>
      </x:c>
      <x:c r="D73" s="32" t="str">
        <x:v>G5_CLAIMS</x:v>
      </x:c>
      <x:c r="E73" s="32" t="n">
        <x:v>0</x:v>
      </x:c>
      <x:c r="F73" s="32"/>
      <x:c r="G73" s="32" t="n">
        <x:v>0</x:v>
      </x:c>
      <x:c r="H73" s="32" t="str"/>
    </x:row>
    <x:row r="74">
      <x:c r="A74" s="32" t="str">
        <x:v>G5_INCERT</x:v>
      </x:c>
      <x:c r="B74" s="32" t="str">
        <x:v>Gate 5 — Conceito Final Aprovado</x:v>
      </x:c>
      <x:c r="C74" s="32" t="str">
        <x:v>Mapa final de incertezas</x:v>
      </x:c>
      <x:c r="D74" s="32" t="str">
        <x:v>G5_INCERT</x:v>
      </x:c>
      <x:c r="E74" s="32" t="n">
        <x:v>0</x:v>
      </x:c>
      <x:c r="F74" s="32"/>
      <x:c r="G74" s="32" t="n">
        <x:v>0</x:v>
      </x:c>
      <x:c r="H74" s="32" t="str"/>
    </x:row>
    <x:row r="75">
      <x:c r="A75" s="32" t="str">
        <x:v>G5_APREND</x:v>
      </x:c>
      <x:c r="B75" s="32" t="str">
        <x:v>Gate 5 — Conceito Final Aprovado</x:v>
      </x:c>
      <x:c r="C75" s="32" t="str">
        <x:v>Plano de aprendizagem para projeto</x:v>
      </x:c>
      <x:c r="D75" s="32" t="str">
        <x:v>G5_APREND</x:v>
      </x:c>
      <x:c r="E75" s="32" t="n">
        <x:v>0</x:v>
      </x:c>
      <x:c r="F75" s="32"/>
      <x:c r="G75" s="32" t="n">
        <x:v>0</x:v>
      </x:c>
      <x:c r="H75" s="32" t="str"/>
    </x:row>
    <x:row r="76">
      <x:c r="A76" s="32" t="str">
        <x:v>G5_PREM</x:v>
      </x:c>
      <x:c r="B76" s="32" t="str">
        <x:v>Gate 5 — Conceito Final Aprovado</x:v>
      </x:c>
      <x:c r="C76" s="32" t="str">
        <x:v>Premissas e restrições do conceito</x:v>
      </x:c>
      <x:c r="D76" s="32" t="str">
        <x:v>G5_PREM</x:v>
      </x:c>
      <x:c r="E76" s="32" t="n">
        <x:v>0</x:v>
      </x:c>
      <x:c r="F76" s="32"/>
      <x:c r="G76" s="32" t="n">
        <x:v>0</x:v>
      </x:c>
      <x:c r="H76" s="32" t="str"/>
    </x:row>
    <x:row r="77">
      <x:c r="A77" s="32" t="str">
        <x:v>G5_RECOM</x:v>
      </x:c>
      <x:c r="B77" s="32" t="str">
        <x:v>Gate 5 — Conceito Final Aprovado</x:v>
      </x:c>
      <x:c r="C77" s="32" t="str">
        <x:v>Recomendações para próxima fase</x:v>
      </x:c>
      <x:c r="D77" s="32" t="str">
        <x:v>G5_RECOM</x:v>
      </x:c>
      <x:c r="E77" s="32" t="n">
        <x:v>0</x:v>
      </x:c>
      <x:c r="F77" s="32"/>
      <x:c r="G77" s="32" t="n">
        <x:v>0</x:v>
      </x:c>
      <x:c r="H77" s="32" t="str"/>
    </x:row>
    <x:row r="78">
      <x:c r="A78" s="32" t="str">
        <x:v>G5_ONEPAGE</x:v>
      </x:c>
      <x:c r="B78" s="32" t="str">
        <x:v>Gate 5 — Conceito Final Aprovado</x:v>
      </x:c>
      <x:c r="C78" s="32" t="str">
        <x:v>One-Page Concept</x:v>
      </x:c>
      <x:c r="D78" s="32" t="str">
        <x:v>G5_ONEPAGE</x:v>
      </x:c>
      <x:c r="E78" s="32" t="n">
        <x:v>0</x:v>
      </x:c>
      <x:c r="F78" s="32"/>
      <x:c r="G78" s="32" t="n">
        <x:v>0</x:v>
      </x:c>
      <x:c r="H78" s="32" t="str"/>
    </x:row>
    <x:row r="79">
      <x:c r="A79" s="32" t="str">
        <x:v>G5_RELFINAL</x:v>
      </x:c>
      <x:c r="B79" s="32" t="str">
        <x:v>Gate 5 — Conceito Final Aprovado</x:v>
      </x:c>
      <x:c r="C79" s="32" t="str">
        <x:v>Relatório final de conceito</x:v>
      </x:c>
      <x:c r="D79" s="32" t="str">
        <x:v>G5_RELFINAL</x:v>
      </x:c>
      <x:c r="E79" s="32" t="n">
        <x:v>0</x:v>
      </x:c>
      <x:c r="F79" s="32"/>
      <x:c r="G79" s="32" t="n">
        <x:v>0</x:v>
      </x:c>
      <x:c r="H79" s="32" t="str"/>
    </x:row>
    <x:row r="80">
      <x:c r="A80" s="32" t="str">
        <x:v>G5_TERMO</x:v>
      </x:c>
      <x:c r="B80" s="32" t="str">
        <x:v>Gate 5 — Conceito Final Aprovado</x:v>
      </x:c>
      <x:c r="C80" s="32" t="str">
        <x:v>Termo de conceito aprovado</x:v>
      </x:c>
      <x:c r="D80" s="32" t="str">
        <x:v>G5_TERMO</x:v>
      </x:c>
      <x:c r="E80" s="32" t="n">
        <x:v>0</x:v>
      </x:c>
      <x:c r="F80" s="32"/>
      <x:c r="G80" s="32" t="n">
        <x:v>0</x:v>
      </x:c>
      <x:c r="H80" s="32" t="str"/>
    </x:row>
    <x:row r="81">
      <x:c r="A81" s="32" t="str">
        <x:v>G5_TRANSFER</x:v>
      </x:c>
      <x:c r="B81" s="32" t="str">
        <x:v>Gate 5 — Conceito Final Aprovado</x:v>
      </x:c>
      <x:c r="C81" s="32" t="str">
        <x:v>Pacote de transferência conceitual</x:v>
      </x:c>
      <x:c r="D81" s="32" t="str">
        <x:v>G5_TRANSFER</x:v>
      </x:c>
      <x:c r="E81" s="32" t="n">
        <x:v>0</x:v>
      </x:c>
      <x:c r="F81" s="32"/>
      <x:c r="G81" s="32" t="n">
        <x:v>0</x:v>
      </x:c>
      <x:c r="H81" s="32" t="str"/>
    </x:row>
    <x:row r="82">
      <x:c r="A82" s="32" t="str">
        <x:v>G5_GONOGO</x:v>
      </x:c>
      <x:c r="B82" s="32" t="str">
        <x:v>Gate 5 — Conceito Final Aprovado</x:v>
      </x:c>
      <x:c r="C82" s="32" t="str">
        <x:v>Matriz Go/No-Go — Gate 5</x:v>
      </x:c>
      <x:c r="D82" s="32" t="str">
        <x:v>G5_GONOGO</x:v>
      </x:c>
      <x:c r="E82" s="32" t="n">
        <x:v>0</x:v>
      </x:c>
      <x:c r="F82" s="32"/>
      <x:c r="G82" s="32" t="n">
        <x:v>0</x:v>
      </x:c>
      <x:c r="H82" s="32" t="str"/>
    </x:row>
  </x:sheetData>
  <x:mergeCells>
    <x:mergeCell ref="A1:H1"/>
    <x:mergeCell ref="A2:H2"/>
  </x:mergeCells>
  <x:dataValidations count="1">
    <x:dataValidation type="list" sqref="F4:F82">
      <x:formula1>",0,1"</x:formula1>
    </x:dataValidation>
  </x:dataValidation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9" hidden="0" customWidth="1"/>
    <x:col min="2" max="2" width="16" hidden="0" customWidth="1"/>
    <x:col min="3" max="3" width="32" hidden="0" customWidth="1"/>
    <x:col min="4" max="4" width="40" hidden="0" customWidth="1"/>
    <x:col min="5" max="5" width="12" hidden="0" customWidth="1"/>
    <x:col min="6" max="6" width="18" hidden="0" customWidth="1"/>
    <x:col min="7" max="7" width="12" hidden="0" customWidth="1"/>
    <x:col min="8" max="8" width="22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</x:cols>
  <x:sheetData>
    <x:row r="1">
      <x:c r="A1" s="4" t="str">
        <x:v>Índice das abas</x:v>
      </x:c>
      <x:c r="B1" s="4"/>
      <x:c r="C1" s="4"/>
      <x:c r="D1" s="4"/>
      <x:c r="E1" s="4"/>
      <x:c r="F1" s="4"/>
      <x:c r="G1" s="4"/>
    </x:row>
    <x:row r="2">
      <x:c r="A2" s="11" t="str">
        <x:v>Navegação da planilha-mãe e status de preenchimento.</x:v>
      </x:c>
      <x:c r="B2" s="11"/>
      <x:c r="C2" s="11"/>
      <x:c r="D2" s="11"/>
      <x:c r="E2" s="11"/>
      <x:c r="F2" s="11"/>
      <x:c r="G2" s="11"/>
    </x:row>
    <x:row r="3">
      <x:c r="A3" s="20" t="str">
        <x:v>Ordem</x:v>
      </x:c>
      <x:c r="B3" s="20" t="str">
        <x:v>Código</x:v>
      </x:c>
      <x:c r="C3" s="20" t="str">
        <x:v>Gate</x:v>
      </x:c>
      <x:c r="D3" s="20" t="str">
        <x:v>Ferramenta</x:v>
      </x:c>
      <x:c r="E3" s="20" t="str">
        <x:v>Selecionada</x:v>
      </x:c>
      <x:c r="F3" s="20" t="str">
        <x:v>Status</x:v>
      </x:c>
      <x:c r="G3" s="20" t="str">
        <x:v>Abrir aba</x:v>
      </x:c>
    </x:row>
    <x:row r="4">
      <x:c r="A4" s="32" t="n">
        <x:v>1</x:v>
      </x:c>
      <x:c r="B4" s="32" t="str">
        <x:v>G1_DECL</x:v>
      </x:c>
      <x:c r="C4" s="32" t="str">
        <x:v>Gate 1 — Oportunidade e Necessidade</x:v>
      </x:c>
      <x:c r="D4" s="32" t="str">
        <x:v>Declaração da oportunidade</x:v>
      </x:c>
      <x:c r="E4" s="32" t="n">
        <x:f>XLOOKUP(B4,Mapa_Selecao!$A:$A,Mapa_Selecao!$G:$G,0)</x:f>
        <x:v>0</x:v>
      </x:c>
      <x:c r="F4" s="32" t="str"/>
      <x:c r="G4" s="32" t="e">
        <x:f>HYPERLINK("#'G1_DECL'!A1","Abrir")</x:f>
      </x:c>
    </x:row>
    <x:row r="5">
      <x:c r="A5" s="32" t="n">
        <x:v>2</x:v>
      </x:c>
      <x:c r="B5" s="32" t="str">
        <x:v>G1_5W2H</x:v>
      </x:c>
      <x:c r="C5" s="32" t="str">
        <x:v>Gate 1 — Oportunidade e Necessidade</x:v>
      </x:c>
      <x:c r="D5" s="32" t="str">
        <x:v>5W2H da oportunidade</x:v>
      </x:c>
      <x:c r="E5" s="32" t="n">
        <x:f>XLOOKUP(B5,Mapa_Selecao!$A:$A,Mapa_Selecao!$G:$G,0)</x:f>
        <x:v>0</x:v>
      </x:c>
      <x:c r="F5" s="32" t="str"/>
      <x:c r="G5" s="32" t="e">
        <x:f>HYPERLINK("#'G1_5W2H'!A1","Abrir")</x:f>
      </x:c>
    </x:row>
    <x:row r="6">
      <x:c r="A6" s="32" t="n">
        <x:v>3</x:v>
      </x:c>
      <x:c r="B6" s="32" t="str">
        <x:v>G1_STAKE</x:v>
      </x:c>
      <x:c r="C6" s="32" t="str">
        <x:v>Gate 1 — Oportunidade e Necessidade</x:v>
      </x:c>
      <x:c r="D6" s="32" t="str">
        <x:v>Mapa de stakeholders</x:v>
      </x:c>
      <x:c r="E6" s="32" t="n">
        <x:f>XLOOKUP(B6,Mapa_Selecao!$A:$A,Mapa_Selecao!$G:$G,0)</x:f>
        <x:v>0</x:v>
      </x:c>
      <x:c r="F6" s="32" t="str"/>
      <x:c r="G6" s="32" t="e">
        <x:f>HYPERLINK("#'G1_STAKE'!A1","Abrir")</x:f>
      </x:c>
    </x:row>
    <x:row r="7">
      <x:c r="A7" s="32" t="n">
        <x:v>4</x:v>
      </x:c>
      <x:c r="B7" s="32" t="str">
        <x:v>G1_VOC</x:v>
      </x:c>
      <x:c r="C7" s="32" t="str">
        <x:v>Gate 1 — Oportunidade e Necessidade</x:v>
      </x:c>
      <x:c r="D7" s="32" t="str">
        <x:v>VOC inicial</x:v>
      </x:c>
      <x:c r="E7" s="32" t="n">
        <x:f>XLOOKUP(B7,Mapa_Selecao!$A:$A,Mapa_Selecao!$G:$G,0)</x:f>
        <x:v>0</x:v>
      </x:c>
      <x:c r="F7" s="32" t="str"/>
      <x:c r="G7" s="32" t="e">
        <x:f>HYPERLINK("#'G1_VOC'!A1","Abrir")</x:f>
      </x:c>
    </x:row>
    <x:row r="8">
      <x:c r="A8" s="32" t="n">
        <x:v>5</x:v>
      </x:c>
      <x:c r="B8" s="32" t="str">
        <x:v>G1_KOL</x:v>
      </x:c>
      <x:c r="C8" s="32" t="str">
        <x:v>Gate 1 — Oportunidade e Necessidade</x:v>
      </x:c>
      <x:c r="D8" s="32" t="str">
        <x:v>Entrevistas com usuários/KOL</x:v>
      </x:c>
      <x:c r="E8" s="32" t="n">
        <x:f>XLOOKUP(B8,Mapa_Selecao!$A:$A,Mapa_Selecao!$G:$G,0)</x:f>
        <x:v>0</x:v>
      </x:c>
      <x:c r="F8" s="32" t="str"/>
      <x:c r="G8" s="32" t="e">
        <x:f>HYPERLINK("#'G1_KOL'!A1","Abrir")</x:f>
      </x:c>
    </x:row>
    <x:row r="9">
      <x:c r="A9" s="32" t="n">
        <x:v>6</x:v>
      </x:c>
      <x:c r="B9" s="32" t="str">
        <x:v>G1_CAMPO</x:v>
      </x:c>
      <x:c r="C9" s="32" t="str">
        <x:v>Gate 1 — Oportunidade e Necessidade</x:v>
      </x:c>
      <x:c r="D9" s="32" t="str">
        <x:v>Observação em campo</x:v>
      </x:c>
      <x:c r="E9" s="32" t="n">
        <x:f>XLOOKUP(B9,Mapa_Selecao!$A:$A,Mapa_Selecao!$G:$G,0)</x:f>
        <x:v>0</x:v>
      </x:c>
      <x:c r="F9" s="32" t="str"/>
      <x:c r="G9" s="32" t="e">
        <x:f>HYPERLINK("#'G1_CAMPO'!A1","Abrir")</x:f>
      </x:c>
    </x:row>
    <x:row r="10">
      <x:c r="A10" s="32" t="n">
        <x:v>7</x:v>
      </x:c>
      <x:c r="B10" s="32" t="str">
        <x:v>G1_GAP</x:v>
      </x:c>
      <x:c r="C10" s="32" t="str">
        <x:v>Gate 1 — Oportunidade e Necessidade</x:v>
      </x:c>
      <x:c r="D10" s="32" t="str">
        <x:v>Gap Analysis</x:v>
      </x:c>
      <x:c r="E10" s="32" t="n">
        <x:f>XLOOKUP(B10,Mapa_Selecao!$A:$A,Mapa_Selecao!$G:$G,0)</x:f>
        <x:v>0</x:v>
      </x:c>
      <x:c r="F10" s="32" t="str"/>
      <x:c r="G10" s="32" t="e">
        <x:f>HYPERLINK("#'G1_GAP'!A1","Abrir")</x:f>
      </x:c>
    </x:row>
    <x:row r="11">
      <x:c r="A11" s="32" t="n">
        <x:v>8</x:v>
      </x:c>
      <x:c r="B11" s="32" t="str">
        <x:v>G1_BENCH</x:v>
      </x:c>
      <x:c r="C11" s="32" t="str">
        <x:v>Gate 1 — Oportunidade e Necessidade</x:v>
      </x:c>
      <x:c r="D11" s="32" t="str">
        <x:v>Benchmarking preliminar</x:v>
      </x:c>
      <x:c r="E11" s="32" t="n">
        <x:f>XLOOKUP(B11,Mapa_Selecao!$A:$A,Mapa_Selecao!$G:$G,0)</x:f>
        <x:v>0</x:v>
      </x:c>
      <x:c r="F11" s="32" t="str"/>
      <x:c r="G11" s="32" t="e">
        <x:f>HYPERLINK("#'G1_BENCH'!A1","Abrir")</x:f>
      </x:c>
    </x:row>
    <x:row r="12">
      <x:c r="A12" s="32" t="n">
        <x:v>9</x:v>
      </x:c>
      <x:c r="B12" s="32" t="str">
        <x:v>G1_VALOR</x:v>
      </x:c>
      <x:c r="C12" s="32" t="str">
        <x:v>Gate 1 — Oportunidade e Necessidade</x:v>
      </x:c>
      <x:c r="D12" s="32" t="str">
        <x:v>Proposta de valor inicial</x:v>
      </x:c>
      <x:c r="E12" s="32" t="n">
        <x:f>XLOOKUP(B12,Mapa_Selecao!$A:$A,Mapa_Selecao!$G:$G,0)</x:f>
        <x:v>0</x:v>
      </x:c>
      <x:c r="F12" s="32" t="str"/>
      <x:c r="G12" s="32" t="e">
        <x:f>HYPERLINK("#'G1_VALOR'!A1","Abrir")</x:f>
      </x:c>
    </x:row>
    <x:row r="13">
      <x:c r="A13" s="32" t="n">
        <x:v>10</x:v>
      </x:c>
      <x:c r="B13" s="32" t="str">
        <x:v>G1_RVV</x:v>
      </x:c>
      <x:c r="C13" s="32" t="str">
        <x:v>Gate 1 — Oportunidade e Necessidade</x:v>
      </x:c>
      <x:c r="D13" s="32" t="str">
        <x:v>Real, Vencível, Vale a pena</x:v>
      </x:c>
      <x:c r="E13" s="32" t="n">
        <x:f>XLOOKUP(B13,Mapa_Selecao!$A:$A,Mapa_Selecao!$G:$G,0)</x:f>
        <x:v>0</x:v>
      </x:c>
      <x:c r="F13" s="32" t="str"/>
      <x:c r="G13" s="32" t="e">
        <x:f>HYPERLINK("#'G1_RVV'!A1","Abrir")</x:f>
      </x:c>
    </x:row>
    <x:row r="14">
      <x:c r="A14" s="32" t="n">
        <x:v>11</x:v>
      </x:c>
      <x:c r="B14" s="32" t="str">
        <x:v>G1_INCERT</x:v>
      </x:c>
      <x:c r="C14" s="32" t="str">
        <x:v>Gate 1 — Oportunidade e Necessidade</x:v>
      </x:c>
      <x:c r="D14" s="32" t="str">
        <x:v>Mapa inicial de incertezas</x:v>
      </x:c>
      <x:c r="E14" s="32" t="n">
        <x:f>XLOOKUP(B14,Mapa_Selecao!$A:$A,Mapa_Selecao!$G:$G,0)</x:f>
        <x:v>0</x:v>
      </x:c>
      <x:c r="F14" s="32" t="str"/>
      <x:c r="G14" s="32" t="e">
        <x:f>HYPERLINK("#'G1_INCERT'!A1","Abrir")</x:f>
      </x:c>
    </x:row>
    <x:row r="15">
      <x:c r="A15" s="32" t="n">
        <x:v>12</x:v>
      </x:c>
      <x:c r="B15" s="32" t="str">
        <x:v>G1_GONOGO</x:v>
      </x:c>
      <x:c r="C15" s="32" t="str">
        <x:v>Gate 1 — Oportunidade e Necessidade</x:v>
      </x:c>
      <x:c r="D15" s="32" t="str">
        <x:v>Matriz Go/No-Go — Gate 1</x:v>
      </x:c>
      <x:c r="E15" s="32" t="n">
        <x:f>XLOOKUP(B15,Mapa_Selecao!$A:$A,Mapa_Selecao!$G:$G,0)</x:f>
        <x:v>0</x:v>
      </x:c>
      <x:c r="F15" s="32" t="str"/>
      <x:c r="G15" s="32" t="e">
        <x:f>HYPERLINK("#'G1_GONOGO'!A1","Abrir")</x:f>
      </x:c>
    </x:row>
    <x:row r="16">
      <x:c r="A16" s="32" t="n">
        <x:v>13</x:v>
      </x:c>
      <x:c r="B16" s="32" t="str">
        <x:v>G2_ROTA</x:v>
      </x:c>
      <x:c r="C16" s="32" t="str">
        <x:v>Gate 2 — Estratégia e Requisitos</x:v>
      </x:c>
      <x:c r="D16" s="32" t="str">
        <x:v>Classificação da rota de desenvolvimento</x:v>
      </x:c>
      <x:c r="E16" s="32" t="n">
        <x:f>XLOOKUP(B16,Mapa_Selecao!$A:$A,Mapa_Selecao!$G:$G,0)</x:f>
        <x:v>0</x:v>
      </x:c>
      <x:c r="F16" s="32" t="str"/>
      <x:c r="G16" s="32" t="e">
        <x:f>HYPERLINK("#'G2_ROTA'!A1","Abrir")</x:f>
      </x:c>
    </x:row>
    <x:row r="17">
      <x:c r="A17" s="32" t="n">
        <x:v>14</x:v>
      </x:c>
      <x:c r="B17" s="32" t="str">
        <x:v>G2_NECESS</x:v>
      </x:c>
      <x:c r="C17" s="32" t="str">
        <x:v>Gate 2 — Estratégia e Requisitos</x:v>
      </x:c>
      <x:c r="D17" s="32" t="str">
        <x:v>Lista de necessidades do usuário</x:v>
      </x:c>
      <x:c r="E17" s="32" t="n">
        <x:f>XLOOKUP(B17,Mapa_Selecao!$A:$A,Mapa_Selecao!$G:$G,0)</x:f>
        <x:v>0</x:v>
      </x:c>
      <x:c r="F17" s="32" t="str"/>
      <x:c r="G17" s="32" t="e">
        <x:f>HYPERLINK("#'G2_NECESS'!A1","Abrir")</x:f>
      </x:c>
    </x:row>
    <x:row r="18">
      <x:c r="A18" s="32" t="n">
        <x:v>15</x:v>
      </x:c>
      <x:c r="B18" s="32" t="str">
        <x:v>G2_PRIOR</x:v>
      </x:c>
      <x:c r="C18" s="32" t="str">
        <x:v>Gate 2 — Estratégia e Requisitos</x:v>
      </x:c>
      <x:c r="D18" s="32" t="str">
        <x:v>Priorização de necessidades</x:v>
      </x:c>
      <x:c r="E18" s="32" t="n">
        <x:f>XLOOKUP(B18,Mapa_Selecao!$A:$A,Mapa_Selecao!$G:$G,0)</x:f>
        <x:v>0</x:v>
      </x:c>
      <x:c r="F18" s="32" t="str"/>
      <x:c r="G18" s="32" t="e">
        <x:f>HYPERLINK("#'G2_PRIOR'!A1","Abrir")</x:f>
      </x:c>
    </x:row>
    <x:row r="19">
      <x:c r="A19" s="32" t="n">
        <x:v>16</x:v>
      </x:c>
      <x:c r="B19" s="32" t="str">
        <x:v>G2_USO</x:v>
      </x:c>
      <x:c r="C19" s="32" t="str">
        <x:v>Gate 2 — Estratégia e Requisitos</x:v>
      </x:c>
      <x:c r="D19" s="32" t="str">
        <x:v>Uso pretendido preliminar</x:v>
      </x:c>
      <x:c r="E19" s="32" t="n">
        <x:f>XLOOKUP(B19,Mapa_Selecao!$A:$A,Mapa_Selecao!$G:$G,0)</x:f>
        <x:v>0</x:v>
      </x:c>
      <x:c r="F19" s="32" t="str"/>
      <x:c r="G19" s="32" t="e">
        <x:f>HYPERLINK("#'G2_USO'!A1","Abrir")</x:f>
      </x:c>
    </x:row>
    <x:row r="20">
      <x:c r="A20" s="32" t="n">
        <x:v>17</x:v>
      </x:c>
      <x:c r="B20" s="32" t="str">
        <x:v>G2_USERAMB</x:v>
      </x:c>
      <x:c r="C20" s="32" t="str">
        <x:v>Gate 2 — Estratégia e Requisitos</x:v>
      </x:c>
      <x:c r="D20" s="32" t="str">
        <x:v>Perfil de usuário e ambiente</x:v>
      </x:c>
      <x:c r="E20" s="32" t="n">
        <x:f>XLOOKUP(B20,Mapa_Selecao!$A:$A,Mapa_Selecao!$G:$G,0)</x:f>
        <x:v>0</x:v>
      </x:c>
      <x:c r="F20" s="32" t="str"/>
      <x:c r="G20" s="32" t="e">
        <x:f>HYPERLINK("#'G2_USERAMB'!A1","Abrir")</x:f>
      </x:c>
    </x:row>
    <x:row r="21">
      <x:c r="A21" s="32" t="n">
        <x:v>18</x:v>
      </x:c>
      <x:c r="B21" s="32" t="str">
        <x:v>G2_QFD</x:v>
      </x:c>
      <x:c r="C21" s="32" t="str">
        <x:v>Gate 2 — Estratégia e Requisitos</x:v>
      </x:c>
      <x:c r="D21" s="32" t="str">
        <x:v>QFD conceitual — nível 1</x:v>
      </x:c>
      <x:c r="E21" s="32" t="n">
        <x:f>XLOOKUP(B21,Mapa_Selecao!$A:$A,Mapa_Selecao!$G:$G,0)</x:f>
        <x:v>0</x:v>
      </x:c>
      <x:c r="F21" s="32" t="str"/>
      <x:c r="G21" s="32" t="e">
        <x:f>HYPERLINK("#'G2_QFD'!A1","Abrir")</x:f>
      </x:c>
    </x:row>
    <x:row r="22">
      <x:c r="A22" s="32" t="n">
        <x:v>19</x:v>
      </x:c>
      <x:c r="B22" s="32" t="str">
        <x:v>G2_CTQ</x:v>
      </x:c>
      <x:c r="C22" s="32" t="str">
        <x:v>Gate 2 — Estratégia e Requisitos</x:v>
      </x:c>
      <x:c r="D22" s="32" t="str">
        <x:v>CTQ preliminar</x:v>
      </x:c>
      <x:c r="E22" s="32" t="n">
        <x:f>XLOOKUP(B22,Mapa_Selecao!$A:$A,Mapa_Selecao!$G:$G,0)</x:f>
        <x:v>0</x:v>
      </x:c>
      <x:c r="F22" s="32" t="str"/>
      <x:c r="G22" s="32" t="e">
        <x:f>HYPERLINK("#'G2_CTQ'!A1","Abrir")</x:f>
      </x:c>
    </x:row>
    <x:row r="23">
      <x:c r="A23" s="32" t="n">
        <x:v>20</x:v>
      </x:c>
      <x:c r="B23" s="32" t="str">
        <x:v>G2_OEM</x:v>
      </x:c>
      <x:c r="C23" s="32" t="str">
        <x:v>Gate 2 — Estratégia e Requisitos</x:v>
      </x:c>
      <x:c r="D23" s="32" t="str">
        <x:v>Triagem OEM / produto de mercado</x:v>
      </x:c>
      <x:c r="E23" s="32" t="n">
        <x:f>XLOOKUP(B23,Mapa_Selecao!$A:$A,Mapa_Selecao!$G:$G,0)</x:f>
        <x:v>0</x:v>
      </x:c>
      <x:c r="F23" s="32" t="str"/>
      <x:c r="G23" s="32" t="e">
        <x:f>HYPERLINK("#'G2_OEM'!A1","Abrir")</x:f>
      </x:c>
    </x:row>
    <x:row r="24">
      <x:c r="A24" s="32" t="n">
        <x:v>21</x:v>
      </x:c>
      <x:c r="B24" s="32" t="str">
        <x:v>G2_FORN</x:v>
      </x:c>
      <x:c r="C24" s="32" t="str">
        <x:v>Gate 2 — Estratégia e Requisitos</x:v>
      </x:c>
      <x:c r="D24" s="32" t="str">
        <x:v>Triagem de fornecedor externo</x:v>
      </x:c>
      <x:c r="E24" s="32" t="n">
        <x:f>XLOOKUP(B24,Mapa_Selecao!$A:$A,Mapa_Selecao!$G:$G,0)</x:f>
        <x:v>0</x:v>
      </x:c>
      <x:c r="F24" s="32" t="str"/>
      <x:c r="G24" s="32" t="e">
        <x:f>HYPERLINK("#'G2_FORN'!A1","Abrir")</x:f>
      </x:c>
    </x:row>
    <x:row r="25">
      <x:c r="A25" s="32" t="n">
        <x:v>22</x:v>
      </x:c>
      <x:c r="B25" s="32" t="str">
        <x:v>G2_CUSTOM</x:v>
      </x:c>
      <x:c r="C25" s="32" t="str">
        <x:v>Gate 2 — Estratégia e Requisitos</x:v>
      </x:c>
      <x:c r="D25" s="32" t="str">
        <x:v>Triagem de customização</x:v>
      </x:c>
      <x:c r="E25" s="32" t="n">
        <x:f>XLOOKUP(B25,Mapa_Selecao!$A:$A,Mapa_Selecao!$G:$G,0)</x:f>
        <x:v>0</x:v>
      </x:c>
      <x:c r="F25" s="32" t="str"/>
      <x:c r="G25" s="32" t="e">
        <x:f>HYPERLINK("#'G2_CUSTOM'!A1","Abrir")</x:f>
      </x:c>
    </x:row>
    <x:row r="26">
      <x:c r="A26" s="32" t="n">
        <x:v>23</x:v>
      </x:c>
      <x:c r="B26" s="32" t="str">
        <x:v>G2_SIMILAR</x:v>
      </x:c>
      <x:c r="C26" s="32" t="str">
        <x:v>Gate 2 — Estratégia e Requisitos</x:v>
      </x:c>
      <x:c r="D26" s="32" t="str">
        <x:v>Triagem de produto similar</x:v>
      </x:c>
      <x:c r="E26" s="32" t="n">
        <x:f>XLOOKUP(B26,Mapa_Selecao!$A:$A,Mapa_Selecao!$G:$G,0)</x:f>
        <x:v>0</x:v>
      </x:c>
      <x:c r="F26" s="32" t="str"/>
      <x:c r="G26" s="32" t="e">
        <x:f>HYPERLINK("#'G2_SIMILAR'!A1","Abrir")</x:f>
      </x:c>
    </x:row>
    <x:row r="27">
      <x:c r="A27" s="32" t="n">
        <x:v>24</x:v>
      </x:c>
      <x:c r="B27" s="32" t="str">
        <x:v>G2_KIT</x:v>
      </x:c>
      <x:c r="C27" s="32" t="str">
        <x:v>Gate 2 — Estratégia e Requisitos</x:v>
      </x:c>
      <x:c r="D27" s="32" t="str">
        <x:v>Triagem de kit ou acessório</x:v>
      </x:c>
      <x:c r="E27" s="32" t="n">
        <x:f>XLOOKUP(B27,Mapa_Selecao!$A:$A,Mapa_Selecao!$G:$G,0)</x:f>
        <x:v>0</x:v>
      </x:c>
      <x:c r="F27" s="32" t="str"/>
      <x:c r="G27" s="32" t="e">
        <x:f>HYPERLINK("#'G2_KIT'!A1","Abrir")</x:f>
      </x:c>
    </x:row>
    <x:row r="28">
      <x:c r="A28" s="32" t="n">
        <x:v>25</x:v>
      </x:c>
      <x:c r="B28" s="32" t="str">
        <x:v>G2_INTER</x:v>
      </x:c>
      <x:c r="C28" s="32" t="str">
        <x:v>Gate 2 — Estratégia e Requisitos</x:v>
      </x:c>
      <x:c r="D28" s="32" t="str">
        <x:v>Triagem de internalização/nacionalização</x:v>
      </x:c>
      <x:c r="E28" s="32" t="n">
        <x:f>XLOOKUP(B28,Mapa_Selecao!$A:$A,Mapa_Selecao!$G:$G,0)</x:f>
        <x:v>0</x:v>
      </x:c>
      <x:c r="F28" s="32" t="str"/>
      <x:c r="G28" s="32" t="e">
        <x:f>HYPERLINK("#'G2_INTER'!A1","Abrir")</x:f>
      </x:c>
    </x:row>
    <x:row r="29">
      <x:c r="A29" s="32" t="n">
        <x:v>26</x:v>
      </x:c>
      <x:c r="B29" s="32" t="str">
        <x:v>G2_REG</x:v>
      </x:c>
      <x:c r="C29" s="32" t="str">
        <x:v>Gate 2 — Estratégia e Requisitos</x:v>
      </x:c>
      <x:c r="D29" s="32" t="str">
        <x:v>Triagem regulatória preliminar</x:v>
      </x:c>
      <x:c r="E29" s="32" t="n">
        <x:f>XLOOKUP(B29,Mapa_Selecao!$A:$A,Mapa_Selecao!$G:$G,0)</x:f>
        <x:v>0</x:v>
      </x:c>
      <x:c r="F29" s="32" t="str"/>
      <x:c r="G29" s="32" t="e">
        <x:f>HYPERLINK("#'G2_REG'!A1","Abrir")</x:f>
      </x:c>
    </x:row>
    <x:row r="30">
      <x:c r="A30" s="32" t="n">
        <x:v>27</x:v>
      </x:c>
      <x:c r="B30" s="32" t="str">
        <x:v>G2_CONTATO</x:v>
      </x:c>
      <x:c r="C30" s="32" t="str">
        <x:v>Gate 2 — Estratégia e Requisitos</x:v>
      </x:c>
      <x:c r="D30" s="32" t="str">
        <x:v>Triagem de contato com paciente</x:v>
      </x:c>
      <x:c r="E30" s="32" t="n">
        <x:f>XLOOKUP(B30,Mapa_Selecao!$A:$A,Mapa_Selecao!$G:$G,0)</x:f>
        <x:v>0</x:v>
      </x:c>
      <x:c r="F30" s="32" t="str"/>
      <x:c r="G30" s="32" t="e">
        <x:f>HYPERLINK("#'G2_CONTATO'!A1","Abrir")</x:f>
      </x:c>
    </x:row>
    <x:row r="31">
      <x:c r="A31" s="32" t="n">
        <x:v>28</x:v>
      </x:c>
      <x:c r="B31" s="32" t="str">
        <x:v>G2_ESTERIL</x:v>
      </x:c>
      <x:c r="C31" s="32" t="str">
        <x:v>Gate 2 — Estratégia e Requisitos</x:v>
      </x:c>
      <x:c r="D31" s="32" t="str">
        <x:v>Triagem de esterilidade</x:v>
      </x:c>
      <x:c r="E31" s="32" t="n">
        <x:f>XLOOKUP(B31,Mapa_Selecao!$A:$A,Mapa_Selecao!$G:$G,0)</x:f>
        <x:v>0</x:v>
      </x:c>
      <x:c r="F31" s="32" t="str"/>
      <x:c r="G31" s="32" t="e">
        <x:f>HYPERLINK("#'G2_ESTERIL'!A1","Abrir")</x:f>
      </x:c>
    </x:row>
    <x:row r="32">
      <x:c r="A32" s="32" t="n">
        <x:v>29</x:v>
      </x:c>
      <x:c r="B32" s="32" t="str">
        <x:v>G2_USOCRIT</x:v>
      </x:c>
      <x:c r="C32" s="32" t="str">
        <x:v>Gate 2 — Estratégia e Requisitos</x:v>
      </x:c>
      <x:c r="D32" s="32" t="str">
        <x:v>Triagem de uso crítico</x:v>
      </x:c>
      <x:c r="E32" s="32" t="n">
        <x:f>XLOOKUP(B32,Mapa_Selecao!$A:$A,Mapa_Selecao!$G:$G,0)</x:f>
        <x:v>0</x:v>
      </x:c>
      <x:c r="F32" s="32" t="str"/>
      <x:c r="G32" s="32" t="e">
        <x:f>HYPERLINK("#'G2_USOCRIT'!A1","Abrir")</x:f>
      </x:c>
    </x:row>
    <x:row r="33">
      <x:c r="A33" s="32" t="n">
        <x:v>30</x:v>
      </x:c>
      <x:c r="B33" s="32" t="str">
        <x:v>G2_PROD</x:v>
      </x:c>
      <x:c r="C33" s="32" t="str">
        <x:v>Gate 2 — Estratégia e Requisitos</x:v>
      </x:c>
      <x:c r="D33" s="32" t="str">
        <x:v>Triagem produtiva conceitual</x:v>
      </x:c>
      <x:c r="E33" s="32" t="n">
        <x:f>XLOOKUP(B33,Mapa_Selecao!$A:$A,Mapa_Selecao!$G:$G,0)</x:f>
        <x:v>0</x:v>
      </x:c>
      <x:c r="F33" s="32" t="str"/>
      <x:c r="G33" s="32" t="e">
        <x:f>HYPERLINK("#'G2_PROD'!A1","Abrir")</x:f>
      </x:c>
    </x:row>
    <x:row r="34">
      <x:c r="A34" s="32" t="n">
        <x:v>31</x:v>
      </x:c>
      <x:c r="B34" s="32" t="str">
        <x:v>G2_ECON</x:v>
      </x:c>
      <x:c r="C34" s="32" t="str">
        <x:v>Gate 2 — Estratégia e Requisitos</x:v>
      </x:c>
      <x:c r="D34" s="32" t="str">
        <x:v>Triagem econômica preliminar</x:v>
      </x:c>
      <x:c r="E34" s="32" t="n">
        <x:f>XLOOKUP(B34,Mapa_Selecao!$A:$A,Mapa_Selecao!$G:$G,0)</x:f>
        <x:v>0</x:v>
      </x:c>
      <x:c r="F34" s="32" t="str"/>
      <x:c r="G34" s="32" t="e">
        <x:f>HYPERLINK("#'G2_ECON'!A1","Abrir")</x:f>
      </x:c>
    </x:row>
    <x:row r="35">
      <x:c r="A35" s="32" t="n">
        <x:v>32</x:v>
      </x:c>
      <x:c r="B35" s="32" t="str">
        <x:v>G2_BUSCAEXT</x:v>
      </x:c>
      <x:c r="C35" s="32" t="str">
        <x:v>Gate 2 — Estratégia e Requisitos</x:v>
      </x:c>
      <x:c r="D35" s="32" t="str">
        <x:v>Busca externa de soluções</x:v>
      </x:c>
      <x:c r="E35" s="32" t="n">
        <x:f>XLOOKUP(B35,Mapa_Selecao!$A:$A,Mapa_Selecao!$G:$G,0)</x:f>
        <x:v>0</x:v>
      </x:c>
      <x:c r="F35" s="32" t="str"/>
      <x:c r="G35" s="32" t="e">
        <x:f>HYPERLINK("#'G2_BUSCAEXT'!A1","Abrir")</x:f>
      </x:c>
    </x:row>
    <x:row r="36">
      <x:c r="A36" s="32" t="n">
        <x:v>33</x:v>
      </x:c>
      <x:c r="B36" s="32" t="str">
        <x:v>G2_INCERT</x:v>
      </x:c>
      <x:c r="C36" s="32" t="str">
        <x:v>Gate 2 — Estratégia e Requisitos</x:v>
      </x:c>
      <x:c r="D36" s="32" t="str">
        <x:v>Mapa atualizado de incertezas</x:v>
      </x:c>
      <x:c r="E36" s="32" t="n">
        <x:f>XLOOKUP(B36,Mapa_Selecao!$A:$A,Mapa_Selecao!$G:$G,0)</x:f>
        <x:v>0</x:v>
      </x:c>
      <x:c r="F36" s="32" t="str"/>
      <x:c r="G36" s="32" t="e">
        <x:f>HYPERLINK("#'G2_INCERT'!A1","Abrir")</x:f>
      </x:c>
    </x:row>
    <x:row r="37">
      <x:c r="A37" s="32" t="n">
        <x:v>34</x:v>
      </x:c>
      <x:c r="B37" s="32" t="str">
        <x:v>G2_APREND</x:v>
      </x:c>
      <x:c r="C37" s="32" t="str">
        <x:v>Gate 2 — Estratégia e Requisitos</x:v>
      </x:c>
      <x:c r="D37" s="32" t="str">
        <x:v>Plano de aprendizagem do conceito</x:v>
      </x:c>
      <x:c r="E37" s="32" t="n">
        <x:f>XLOOKUP(B37,Mapa_Selecao!$A:$A,Mapa_Selecao!$G:$G,0)</x:f>
        <x:v>0</x:v>
      </x:c>
      <x:c r="F37" s="32" t="str"/>
      <x:c r="G37" s="32" t="e">
        <x:f>HYPERLINK("#'G2_APREND'!A1","Abrir")</x:f>
      </x:c>
    </x:row>
    <x:row r="38">
      <x:c r="A38" s="32" t="n">
        <x:v>35</x:v>
      </x:c>
      <x:c r="B38" s="32" t="str">
        <x:v>G2_GONOGO</x:v>
      </x:c>
      <x:c r="C38" s="32" t="str">
        <x:v>Gate 2 — Estratégia e Requisitos</x:v>
      </x:c>
      <x:c r="D38" s="32" t="str">
        <x:v>Matriz Go/No-Go — Gate 2</x:v>
      </x:c>
      <x:c r="E38" s="32" t="n">
        <x:f>XLOOKUP(B38,Mapa_Selecao!$A:$A,Mapa_Selecao!$G:$G,0)</x:f>
        <x:v>0</x:v>
      </x:c>
      <x:c r="F38" s="32" t="str"/>
      <x:c r="G38" s="32" t="e">
        <x:f>HYPERLINK("#'G2_GONOGO'!A1","Abrir")</x:f>
      </x:c>
    </x:row>
    <x:row r="39">
      <x:c r="A39" s="32" t="n">
        <x:v>36</x:v>
      </x:c>
      <x:c r="B39" s="32" t="str">
        <x:v>G3_BUSCAINT</x:v>
      </x:c>
      <x:c r="C39" s="32" t="str">
        <x:v>Gate 3 — Geração de Alternativas</x:v>
      </x:c>
      <x:c r="D39" s="32" t="str">
        <x:v>Busca interna de soluções</x:v>
      </x:c>
      <x:c r="E39" s="32" t="n">
        <x:f>XLOOKUP(B39,Mapa_Selecao!$A:$A,Mapa_Selecao!$G:$G,0)</x:f>
        <x:v>0</x:v>
      </x:c>
      <x:c r="F39" s="32" t="str"/>
      <x:c r="G39" s="32" t="e">
        <x:f>HYPERLINK("#'G3_BUSCAINT'!A1","Abrir")</x:f>
      </x:c>
    </x:row>
    <x:row r="40">
      <x:c r="A40" s="32" t="n">
        <x:v>37</x:v>
      </x:c>
      <x:c r="B40" s="32" t="str">
        <x:v>G3_BUSCAEXT</x:v>
      </x:c>
      <x:c r="C40" s="32" t="str">
        <x:v>Gate 3 — Geração de Alternativas</x:v>
      </x:c>
      <x:c r="D40" s="32" t="str">
        <x:v>Busca externa de soluções</x:v>
      </x:c>
      <x:c r="E40" s="32" t="n">
        <x:f>XLOOKUP(B40,Mapa_Selecao!$A:$A,Mapa_Selecao!$G:$G,0)</x:f>
        <x:v>0</x:v>
      </x:c>
      <x:c r="F40" s="32" t="str"/>
      <x:c r="G40" s="32" t="e">
        <x:f>HYPERLINK("#'G3_BUSCAEXT'!A1","Abrir")</x:f>
      </x:c>
    </x:row>
    <x:row r="41">
      <x:c r="A41" s="32" t="n">
        <x:v>38</x:v>
      </x:c>
      <x:c r="B41" s="32" t="str">
        <x:v>G3_MENTAL</x:v>
      </x:c>
      <x:c r="C41" s="32" t="str">
        <x:v>Gate 3 — Geração de Alternativas</x:v>
      </x:c>
      <x:c r="D41" s="32" t="str">
        <x:v>Mapa mental</x:v>
      </x:c>
      <x:c r="E41" s="32" t="n">
        <x:f>XLOOKUP(B41,Mapa_Selecao!$A:$A,Mapa_Selecao!$G:$G,0)</x:f>
        <x:v>0</x:v>
      </x:c>
      <x:c r="F41" s="32" t="str"/>
      <x:c r="G41" s="32" t="e">
        <x:f>HYPERLINK("#'G3_MENTAL'!A1","Abrir")</x:f>
      </x:c>
    </x:row>
    <x:row r="42">
      <x:c r="A42" s="32" t="n">
        <x:v>39</x:v>
      </x:c>
      <x:c r="B42" s="32" t="str">
        <x:v>G3_DECOMP</x:v>
      </x:c>
      <x:c r="C42" s="32" t="str">
        <x:v>Gate 3 — Geração de Alternativas</x:v>
      </x:c>
      <x:c r="D42" s="32" t="str">
        <x:v>Decomposição funcional</x:v>
      </x:c>
      <x:c r="E42" s="32" t="n">
        <x:f>XLOOKUP(B42,Mapa_Selecao!$A:$A,Mapa_Selecao!$G:$G,0)</x:f>
        <x:v>0</x:v>
      </x:c>
      <x:c r="F42" s="32" t="str"/>
      <x:c r="G42" s="32" t="e">
        <x:f>HYPERLINK("#'G3_DECOMP'!A1","Abrir")</x:f>
      </x:c>
    </x:row>
    <x:row r="43">
      <x:c r="A43" s="32" t="n">
        <x:v>40</x:v>
      </x:c>
      <x:c r="B43" s="32" t="str">
        <x:v>G3_BRAIN</x:v>
      </x:c>
      <x:c r="C43" s="32" t="str">
        <x:v>Gate 3 — Geração de Alternativas</x:v>
      </x:c>
      <x:c r="D43" s="32" t="str">
        <x:v>Brainstorming estruturado</x:v>
      </x:c>
      <x:c r="E43" s="32" t="n">
        <x:f>XLOOKUP(B43,Mapa_Selecao!$A:$A,Mapa_Selecao!$G:$G,0)</x:f>
        <x:v>0</x:v>
      </x:c>
      <x:c r="F43" s="32" t="str"/>
      <x:c r="G43" s="32" t="e">
        <x:f>HYPERLINK("#'G3_BRAIN'!A1","Abrir")</x:f>
      </x:c>
    </x:row>
    <x:row r="44">
      <x:c r="A44" s="32" t="n">
        <x:v>41</x:v>
      </x:c>
      <x:c r="B44" s="32" t="str">
        <x:v>G3_SCAMPER</x:v>
      </x:c>
      <x:c r="C44" s="32" t="str">
        <x:v>Gate 3 — Geração de Alternativas</x:v>
      </x:c>
      <x:c r="D44" s="32" t="str">
        <x:v>SCAMPER</x:v>
      </x:c>
      <x:c r="E44" s="32" t="n">
        <x:f>XLOOKUP(B44,Mapa_Selecao!$A:$A,Mapa_Selecao!$G:$G,0)</x:f>
        <x:v>0</x:v>
      </x:c>
      <x:c r="F44" s="32" t="str"/>
      <x:c r="G44" s="32" t="e">
        <x:f>HYPERLINK("#'G3_SCAMPER'!A1","Abrir")</x:f>
      </x:c>
    </x:row>
    <x:row r="45">
      <x:c r="A45" s="32" t="n">
        <x:v>42</x:v>
      </x:c>
      <x:c r="B45" s="32" t="str">
        <x:v>G3_TRIZ</x:v>
      </x:c>
      <x:c r="C45" s="32" t="str">
        <x:v>Gate 3 — Geração de Alternativas</x:v>
      </x:c>
      <x:c r="D45" s="32" t="str">
        <x:v>TRIZ conceitual</x:v>
      </x:c>
      <x:c r="E45" s="32" t="n">
        <x:f>XLOOKUP(B45,Mapa_Selecao!$A:$A,Mapa_Selecao!$G:$G,0)</x:f>
        <x:v>0</x:v>
      </x:c>
      <x:c r="F45" s="32" t="str"/>
      <x:c r="G45" s="32" t="e">
        <x:f>HYPERLINK("#'G3_TRIZ'!A1","Abrir")</x:f>
      </x:c>
    </x:row>
    <x:row r="46">
      <x:c r="A46" s="32" t="n">
        <x:v>43</x:v>
      </x:c>
      <x:c r="B46" s="32" t="str">
        <x:v>G3_MORFO</x:v>
      </x:c>
      <x:c r="C46" s="32" t="str">
        <x:v>Gate 3 — Geração de Alternativas</x:v>
      </x:c>
      <x:c r="D46" s="32" t="str">
        <x:v>Matriz morfológica</x:v>
      </x:c>
      <x:c r="E46" s="32" t="n">
        <x:f>XLOOKUP(B46,Mapa_Selecao!$A:$A,Mapa_Selecao!$G:$G,0)</x:f>
        <x:v>0</x:v>
      </x:c>
      <x:c r="F46" s="32" t="str"/>
      <x:c r="G46" s="32" t="e">
        <x:f>HYPERLINK("#'G3_MORFO'!A1","Abrir")</x:f>
      </x:c>
    </x:row>
    <x:row r="47">
      <x:c r="A47" s="32" t="n">
        <x:v>44</x:v>
      </x:c>
      <x:c r="B47" s="32" t="str">
        <x:v>G3_ARVORE</x:v>
      </x:c>
      <x:c r="C47" s="32" t="str">
        <x:v>Gate 3 — Geração de Alternativas</x:v>
      </x:c>
      <x:c r="D47" s="32" t="str">
        <x:v>Árvore de classificação de conceitos</x:v>
      </x:c>
      <x:c r="E47" s="32" t="n">
        <x:f>XLOOKUP(B47,Mapa_Selecao!$A:$A,Mapa_Selecao!$G:$G,0)</x:f>
        <x:v>0</x:v>
      </x:c>
      <x:c r="F47" s="32" t="str"/>
      <x:c r="G47" s="32" t="e">
        <x:f>HYPERLINK("#'G3_ARVORE'!A1","Abrir")</x:f>
      </x:c>
    </x:row>
    <x:row r="48">
      <x:c r="A48" s="32" t="n">
        <x:v>45</x:v>
      </x:c>
      <x:c r="B48" s="32" t="str">
        <x:v>G3_COMBO</x:v>
      </x:c>
      <x:c r="C48" s="32" t="str">
        <x:v>Gate 3 — Geração de Alternativas</x:v>
      </x:c>
      <x:c r="D48" s="32" t="str">
        <x:v>Tabela de combinação de conceitos</x:v>
      </x:c>
      <x:c r="E48" s="32" t="n">
        <x:f>XLOOKUP(B48,Mapa_Selecao!$A:$A,Mapa_Selecao!$G:$G,0)</x:f>
        <x:v>0</x:v>
      </x:c>
      <x:c r="F48" s="32" t="str"/>
      <x:c r="G48" s="32" t="e">
        <x:f>HYPERLINK("#'G3_COMBO'!A1","Abrir")</x:f>
      </x:c>
    </x:row>
    <x:row r="49">
      <x:c r="A49" s="32" t="n">
        <x:v>46</x:v>
      </x:c>
      <x:c r="B49" s="32" t="str">
        <x:v>G3_SKETCH</x:v>
      </x:c>
      <x:c r="C49" s="32" t="str">
        <x:v>Gate 3 — Geração de Alternativas</x:v>
      </x:c>
      <x:c r="D49" s="32" t="str">
        <x:v>Sketch conceitual</x:v>
      </x:c>
      <x:c r="E49" s="32" t="n">
        <x:f>XLOOKUP(B49,Mapa_Selecao!$A:$A,Mapa_Selecao!$G:$G,0)</x:f>
        <x:v>0</x:v>
      </x:c>
      <x:c r="F49" s="32" t="str"/>
      <x:c r="G49" s="32" t="e">
        <x:f>HYPERLINK("#'G3_SKETCH'!A1","Abrir")</x:f>
      </x:c>
    </x:row>
    <x:row r="50">
      <x:c r="A50" s="32" t="n">
        <x:v>47</x:v>
      </x:c>
      <x:c r="B50" s="32" t="str">
        <x:v>G3_STORY</x:v>
      </x:c>
      <x:c r="C50" s="32" t="str">
        <x:v>Gate 3 — Geração de Alternativas</x:v>
      </x:c>
      <x:c r="D50" s="32" t="str">
        <x:v>Storyboard de uso</x:v>
      </x:c>
      <x:c r="E50" s="32" t="n">
        <x:f>XLOOKUP(B50,Mapa_Selecao!$A:$A,Mapa_Selecao!$G:$G,0)</x:f>
        <x:v>0</x:v>
      </x:c>
      <x:c r="F50" s="32" t="str"/>
      <x:c r="G50" s="32" t="e">
        <x:f>HYPERLINK("#'G3_STORY'!A1","Abrir")</x:f>
      </x:c>
    </x:row>
    <x:row r="51">
      <x:c r="A51" s="32" t="n">
        <x:v>48</x:v>
      </x:c>
      <x:c r="B51" s="32" t="str">
        <x:v>G3_PROTO</x:v>
      </x:c>
      <x:c r="C51" s="32" t="str">
        <x:v>Gate 3 — Geração de Alternativas</x:v>
      </x:c>
      <x:c r="D51" s="32" t="str">
        <x:v>Prototipagem conceitual simples</x:v>
      </x:c>
      <x:c r="E51" s="32" t="n">
        <x:f>XLOOKUP(B51,Mapa_Selecao!$A:$A,Mapa_Selecao!$G:$G,0)</x:f>
        <x:v>0</x:v>
      </x:c>
      <x:c r="F51" s="32" t="str"/>
      <x:c r="G51" s="32" t="e">
        <x:f>HYPERLINK("#'G3_PROTO'!A1","Abrir")</x:f>
      </x:c>
    </x:row>
    <x:row r="52">
      <x:c r="A52" s="32" t="n">
        <x:v>49</x:v>
      </x:c>
      <x:c r="B52" s="32" t="str">
        <x:v>G3_PROVA</x:v>
      </x:c>
      <x:c r="C52" s="32" t="str">
        <x:v>Gate 3 — Geração de Alternativas</x:v>
      </x:c>
      <x:c r="D52" s="32" t="str">
        <x:v>Prova de princípio simples</x:v>
      </x:c>
      <x:c r="E52" s="32" t="n">
        <x:f>XLOOKUP(B52,Mapa_Selecao!$A:$A,Mapa_Selecao!$G:$G,0)</x:f>
        <x:v>0</x:v>
      </x:c>
      <x:c r="F52" s="32" t="str"/>
      <x:c r="G52" s="32" t="e">
        <x:f>HYPERLINK("#'G3_PROVA'!A1","Abrir")</x:f>
      </x:c>
    </x:row>
    <x:row r="53">
      <x:c r="A53" s="32" t="n">
        <x:v>50</x:v>
      </x:c>
      <x:c r="B53" s="32" t="str">
        <x:v>G3_GONOGO</x:v>
      </x:c>
      <x:c r="C53" s="32" t="str">
        <x:v>Gate 3 — Geração de Alternativas</x:v>
      </x:c>
      <x:c r="D53" s="32" t="str">
        <x:v>Matriz Go/No-Go — Gate 3</x:v>
      </x:c>
      <x:c r="E53" s="32" t="n">
        <x:f>XLOOKUP(B53,Mapa_Selecao!$A:$A,Mapa_Selecao!$G:$G,0)</x:f>
        <x:v>0</x:v>
      </x:c>
      <x:c r="F53" s="32" t="str"/>
      <x:c r="G53" s="32" t="e">
        <x:f>HYPERLINK("#'G3_GONOGO'!A1","Abrir")</x:f>
      </x:c>
    </x:row>
    <x:row r="54">
      <x:c r="A54" s="32" t="n">
        <x:v>51</x:v>
      </x:c>
      <x:c r="B54" s="32" t="str">
        <x:v>G4_CRIT</x:v>
      </x:c>
      <x:c r="C54" s="32" t="str">
        <x:v>Gate 4 — Seleção e Teste</x:v>
      </x:c>
      <x:c r="D54" s="32" t="str">
        <x:v>Critérios de seleção do conceito</x:v>
      </x:c>
      <x:c r="E54" s="32" t="n">
        <x:f>XLOOKUP(B54,Mapa_Selecao!$A:$A,Mapa_Selecao!$G:$G,0)</x:f>
        <x:v>0</x:v>
      </x:c>
      <x:c r="F54" s="32" t="str"/>
      <x:c r="G54" s="32" t="e">
        <x:f>HYPERLINK("#'G4_CRIT'!A1","Abrir")</x:f>
      </x:c>
    </x:row>
    <x:row r="55">
      <x:c r="A55" s="32" t="n">
        <x:v>52</x:v>
      </x:c>
      <x:c r="B55" s="32" t="str">
        <x:v>G4_REF</x:v>
      </x:c>
      <x:c r="C55" s="32" t="str">
        <x:v>Gate 4 — Seleção e Teste</x:v>
      </x:c>
      <x:c r="D55" s="32" t="str">
        <x:v>Conceito de referência</x:v>
      </x:c>
      <x:c r="E55" s="32" t="n">
        <x:f>XLOOKUP(B55,Mapa_Selecao!$A:$A,Mapa_Selecao!$G:$G,0)</x:f>
        <x:v>0</x:v>
      </x:c>
      <x:c r="F55" s="32" t="str"/>
      <x:c r="G55" s="32" t="e">
        <x:f>HYPERLINK("#'G4_REF'!A1","Abrir")</x:f>
      </x:c>
    </x:row>
    <x:row r="56">
      <x:c r="A56" s="32" t="n">
        <x:v>53</x:v>
      </x:c>
      <x:c r="B56" s="32" t="str">
        <x:v>G4_TRIAGEM</x:v>
      </x:c>
      <x:c r="C56" s="32" t="str">
        <x:v>Gate 4 — Seleção e Teste</x:v>
      </x:c>
      <x:c r="D56" s="32" t="str">
        <x:v>Matriz de triagem de conceitos</x:v>
      </x:c>
      <x:c r="E56" s="32" t="n">
        <x:f>XLOOKUP(B56,Mapa_Selecao!$A:$A,Mapa_Selecao!$G:$G,0)</x:f>
        <x:v>0</x:v>
      </x:c>
      <x:c r="F56" s="32" t="str"/>
      <x:c r="G56" s="32" t="e">
        <x:f>HYPERLINK("#'G4_TRIAGEM'!A1","Abrir")</x:f>
      </x:c>
    </x:row>
    <x:row r="57">
      <x:c r="A57" s="32" t="n">
        <x:v>54</x:v>
      </x:c>
      <x:c r="B57" s="32" t="str">
        <x:v>G4_PUGH</x:v>
      </x:c>
      <x:c r="C57" s="32" t="str">
        <x:v>Gate 4 — Seleção e Teste</x:v>
      </x:c>
      <x:c r="D57" s="32" t="str">
        <x:v>Matriz de Pugh</x:v>
      </x:c>
      <x:c r="E57" s="32" t="n">
        <x:f>XLOOKUP(B57,Mapa_Selecao!$A:$A,Mapa_Selecao!$G:$G,0)</x:f>
        <x:v>0</x:v>
      </x:c>
      <x:c r="F57" s="32" t="str"/>
      <x:c r="G57" s="32" t="e">
        <x:f>HYPERLINK("#'G4_PUGH'!A1","Abrir")</x:f>
      </x:c>
    </x:row>
    <x:row r="58">
      <x:c r="A58" s="32" t="n">
        <x:v>55</x:v>
      </x:c>
      <x:c r="B58" s="32" t="str">
        <x:v>G4_PONDER</x:v>
      </x:c>
      <x:c r="C58" s="32" t="str">
        <x:v>Gate 4 — Seleção e Teste</x:v>
      </x:c>
      <x:c r="D58" s="32" t="str">
        <x:v>Matriz de decisão ponderada</x:v>
      </x:c>
      <x:c r="E58" s="32" t="n">
        <x:f>XLOOKUP(B58,Mapa_Selecao!$A:$A,Mapa_Selecao!$G:$G,0)</x:f>
        <x:v>0</x:v>
      </x:c>
      <x:c r="F58" s="32" t="str"/>
      <x:c r="G58" s="32" t="e">
        <x:f>HYPERLINK("#'G4_PONDER'!A1","Abrir")</x:f>
      </x:c>
    </x:row>
    <x:row r="59">
      <x:c r="A59" s="32" t="n">
        <x:v>56</x:v>
      </x:c>
      <x:c r="B59" s="32" t="str">
        <x:v>G4_TRADE</x:v>
      </x:c>
      <x:c r="C59" s="32" t="str">
        <x:v>Gate 4 — Seleção e Teste</x:v>
      </x:c>
      <x:c r="D59" s="32" t="str">
        <x:v>Trade-off conceitual</x:v>
      </x:c>
      <x:c r="E59" s="32" t="n">
        <x:f>XLOOKUP(B59,Mapa_Selecao!$A:$A,Mapa_Selecao!$G:$G,0)</x:f>
        <x:v>0</x:v>
      </x:c>
      <x:c r="F59" s="32" t="str"/>
      <x:c r="G59" s="32" t="e">
        <x:f>HYPERLINK("#'G4_TRADE'!A1","Abrir")</x:f>
      </x:c>
    </x:row>
    <x:row r="60">
      <x:c r="A60" s="32" t="n">
        <x:v>57</x:v>
      </x:c>
      <x:c r="B60" s="32" t="str">
        <x:v>G4_NEC_CONC</x:v>
      </x:c>
      <x:c r="C60" s="32" t="str">
        <x:v>Gate 4 — Seleção e Teste</x:v>
      </x:c>
      <x:c r="D60" s="32" t="str">
        <x:v>Matriz necessidade × conceito</x:v>
      </x:c>
      <x:c r="E60" s="32" t="n">
        <x:f>XLOOKUP(B60,Mapa_Selecao!$A:$A,Mapa_Selecao!$G:$G,0)</x:f>
        <x:v>0</x:v>
      </x:c>
      <x:c r="F60" s="32" t="str"/>
      <x:c r="G60" s="32" t="e">
        <x:f>HYPERLINK("#'G4_NEC_CONC'!A1","Abrir")</x:f>
      </x:c>
    </x:row>
    <x:row r="61">
      <x:c r="A61" s="32" t="n">
        <x:v>58</x:v>
      </x:c>
      <x:c r="B61" s="32" t="str">
        <x:v>G4_CTQ_CONC</x:v>
      </x:c>
      <x:c r="C61" s="32" t="str">
        <x:v>Gate 4 — Seleção e Teste</x:v>
      </x:c>
      <x:c r="D61" s="32" t="str">
        <x:v>Matriz CTQ × conceito</x:v>
      </x:c>
      <x:c r="E61" s="32" t="n">
        <x:f>XLOOKUP(B61,Mapa_Selecao!$A:$A,Mapa_Selecao!$G:$G,0)</x:f>
        <x:v>0</x:v>
      </x:c>
      <x:c r="F61" s="32" t="str"/>
      <x:c r="G61" s="32" t="e">
        <x:f>HYPERLINK("#'G4_CTQ_CONC'!A1","Abrir")</x:f>
      </x:c>
    </x:row>
    <x:row r="62">
      <x:c r="A62" s="32" t="n">
        <x:v>59</x:v>
      </x:c>
      <x:c r="B62" s="32" t="str">
        <x:v>G4_ATRAT</x:v>
      </x:c>
      <x:c r="C62" s="32" t="str">
        <x:v>Gate 4 — Seleção e Teste</x:v>
      </x:c>
      <x:c r="D62" s="32" t="str">
        <x:v>Atratividade do conceito</x:v>
      </x:c>
      <x:c r="E62" s="32" t="n">
        <x:f>XLOOKUP(B62,Mapa_Selecao!$A:$A,Mapa_Selecao!$G:$G,0)</x:f>
        <x:v>0</x:v>
      </x:c>
      <x:c r="F62" s="32" t="str"/>
      <x:c r="G62" s="32" t="e">
        <x:f>HYPERLINK("#'G4_ATRAT'!A1","Abrir")</x:f>
      </x:c>
    </x:row>
    <x:row r="63">
      <x:c r="A63" s="32" t="n">
        <x:v>60</x:v>
      </x:c>
      <x:c r="B63" s="32" t="str">
        <x:v>G4_TESTE</x:v>
      </x:c>
      <x:c r="C63" s="32" t="str">
        <x:v>Gate 4 — Seleção e Teste</x:v>
      </x:c>
      <x:c r="D63" s="32" t="str">
        <x:v>Teste de conceito preliminar</x:v>
      </x:c>
      <x:c r="E63" s="32" t="n">
        <x:f>XLOOKUP(B63,Mapa_Selecao!$A:$A,Mapa_Selecao!$G:$G,0)</x:f>
        <x:v>0</x:v>
      </x:c>
      <x:c r="F63" s="32" t="str"/>
      <x:c r="G63" s="32" t="e">
        <x:f>HYPERLINK("#'G4_TESTE'!A1","Abrir")</x:f>
      </x:c>
    </x:row>
    <x:row r="64">
      <x:c r="A64" s="32" t="n">
        <x:v>61</x:v>
      </x:c>
      <x:c r="B64" s="32" t="str">
        <x:v>G4_PROTO</x:v>
      </x:c>
      <x:c r="C64" s="32" t="str">
        <x:v>Gate 4 — Seleção e Teste</x:v>
      </x:c>
      <x:c r="D64" s="32" t="str">
        <x:v>Prototipagem conceitual de apoio</x:v>
      </x:c>
      <x:c r="E64" s="32" t="n">
        <x:f>XLOOKUP(B64,Mapa_Selecao!$A:$A,Mapa_Selecao!$G:$G,0)</x:f>
        <x:v>0</x:v>
      </x:c>
      <x:c r="F64" s="32" t="str"/>
      <x:c r="G64" s="32" t="e">
        <x:f>HYPERLINK("#'G4_PROTO'!A1","Abrir")</x:f>
      </x:c>
    </x:row>
    <x:row r="65">
      <x:c r="A65" s="32" t="n">
        <x:v>62</x:v>
      </x:c>
      <x:c r="B65" s="32" t="str">
        <x:v>G4_SCORE</x:v>
      </x:c>
      <x:c r="C65" s="32" t="str">
        <x:v>Gate 4 — Seleção e Teste</x:v>
      </x:c>
      <x:c r="D65" s="32" t="str">
        <x:v>Scorecard de conceito</x:v>
      </x:c>
      <x:c r="E65" s="32" t="n">
        <x:f>XLOOKUP(B65,Mapa_Selecao!$A:$A,Mapa_Selecao!$G:$G,0)</x:f>
        <x:v>0</x:v>
      </x:c>
      <x:c r="F65" s="32" t="str"/>
      <x:c r="G65" s="32" t="e">
        <x:f>HYPERLINK("#'G4_SCORE'!A1","Abrir")</x:f>
      </x:c>
    </x:row>
    <x:row r="66">
      <x:c r="A66" s="32" t="n">
        <x:v>63</x:v>
      </x:c>
      <x:c r="B66" s="32" t="str">
        <x:v>G4_INCERT</x:v>
      </x:c>
      <x:c r="C66" s="32" t="str">
        <x:v>Gate 4 — Seleção e Teste</x:v>
      </x:c>
      <x:c r="D66" s="32" t="str">
        <x:v>Mapa de incertezas do conceito selecionado</x:v>
      </x:c>
      <x:c r="E66" s="32" t="n">
        <x:f>XLOOKUP(B66,Mapa_Selecao!$A:$A,Mapa_Selecao!$G:$G,0)</x:f>
        <x:v>0</x:v>
      </x:c>
      <x:c r="F66" s="32" t="str"/>
      <x:c r="G66" s="32" t="e">
        <x:f>HYPERLINK("#'G4_INCERT'!A1","Abrir")</x:f>
      </x:c>
    </x:row>
    <x:row r="67">
      <x:c r="A67" s="32" t="n">
        <x:v>64</x:v>
      </x:c>
      <x:c r="B67" s="32" t="str">
        <x:v>G4_GONOGO</x:v>
      </x:c>
      <x:c r="C67" s="32" t="str">
        <x:v>Gate 4 — Seleção e Teste</x:v>
      </x:c>
      <x:c r="D67" s="32" t="str">
        <x:v>Matriz Go/No-Go — Gate 4</x:v>
      </x:c>
      <x:c r="E67" s="32" t="n">
        <x:f>XLOOKUP(B67,Mapa_Selecao!$A:$A,Mapa_Selecao!$G:$G,0)</x:f>
        <x:v>0</x:v>
      </x:c>
      <x:c r="F67" s="32" t="str"/>
      <x:c r="G67" s="32" t="e">
        <x:f>HYPERLINK("#'G4_GONOGO'!A1","Abrir")</x:f>
      </x:c>
    </x:row>
    <x:row r="68">
      <x:c r="A68" s="32" t="n">
        <x:v>65</x:v>
      </x:c>
      <x:c r="B68" s="32" t="str">
        <x:v>G5_MISSAO</x:v>
      </x:c>
      <x:c r="C68" s="32" t="str">
        <x:v>Gate 5 — Conceito Final Aprovado</x:v>
      </x:c>
      <x:c r="D68" s="32" t="str">
        <x:v>Declaração de missão do conceito</x:v>
      </x:c>
      <x:c r="E68" s="32" t="n">
        <x:f>XLOOKUP(B68,Mapa_Selecao!$A:$A,Mapa_Selecao!$G:$G,0)</x:f>
        <x:v>0</x:v>
      </x:c>
      <x:c r="F68" s="32" t="str"/>
      <x:c r="G68" s="32" t="e">
        <x:f>HYPERLINK("#'G5_MISSAO'!A1","Abrir")</x:f>
      </x:c>
    </x:row>
    <x:row r="69">
      <x:c r="A69" s="32" t="n">
        <x:v>66</x:v>
      </x:c>
      <x:c r="B69" s="32" t="str">
        <x:v>G5_REQ</x:v>
      </x:c>
      <x:c r="C69" s="32" t="str">
        <x:v>Gate 5 — Conceito Final Aprovado</x:v>
      </x:c>
      <x:c r="D69" s="32" t="str">
        <x:v>Requisitos conceituais preliminares</x:v>
      </x:c>
      <x:c r="E69" s="32" t="n">
        <x:f>XLOOKUP(B69,Mapa_Selecao!$A:$A,Mapa_Selecao!$G:$G,0)</x:f>
        <x:v>0</x:v>
      </x:c>
      <x:c r="F69" s="32" t="str"/>
      <x:c r="G69" s="32" t="e">
        <x:f>HYPERLINK("#'G5_REQ'!A1","Abrir")</x:f>
      </x:c>
    </x:row>
    <x:row r="70">
      <x:c r="A70" s="32" t="n">
        <x:v>67</x:v>
      </x:c>
      <x:c r="B70" s="32" t="str">
        <x:v>G5_UNS</x:v>
      </x:c>
      <x:c r="C70" s="32" t="str">
        <x:v>Gate 5 — Conceito Final Aprovado</x:v>
      </x:c>
      <x:c r="D70" s="32" t="str">
        <x:v>User Needs Statement</x:v>
      </x:c>
      <x:c r="E70" s="32" t="n">
        <x:f>XLOOKUP(B70,Mapa_Selecao!$A:$A,Mapa_Selecao!$G:$G,0)</x:f>
        <x:v>0</x:v>
      </x:c>
      <x:c r="F70" s="32" t="str"/>
      <x:c r="G70" s="32" t="e">
        <x:f>HYPERLINK("#'G5_UNS'!A1","Abrir")</x:f>
      </x:c>
    </x:row>
    <x:row r="71">
      <x:c r="A71" s="32" t="n">
        <x:v>68</x:v>
      </x:c>
      <x:c r="B71" s="32" t="str">
        <x:v>G5_CTQ</x:v>
      </x:c>
      <x:c r="C71" s="32" t="str">
        <x:v>Gate 5 — Conceito Final Aprovado</x:v>
      </x:c>
      <x:c r="D71" s="32" t="str">
        <x:v>CTQ consolidado do conceito</x:v>
      </x:c>
      <x:c r="E71" s="32" t="n">
        <x:f>XLOOKUP(B71,Mapa_Selecao!$A:$A,Mapa_Selecao!$G:$G,0)</x:f>
        <x:v>0</x:v>
      </x:c>
      <x:c r="F71" s="32" t="str"/>
      <x:c r="G71" s="32" t="e">
        <x:f>HYPERLINK("#'G5_CTQ'!A1","Abrir")</x:f>
      </x:c>
    </x:row>
    <x:row r="72">
      <x:c r="A72" s="32" t="n">
        <x:v>69</x:v>
      </x:c>
      <x:c r="B72" s="32" t="str">
        <x:v>G5_QFD</x:v>
      </x:c>
      <x:c r="C72" s="32" t="str">
        <x:v>Gate 5 — Conceito Final Aprovado</x:v>
      </x:c>
      <x:c r="D72" s="32" t="str">
        <x:v>QFD conceitual consolidado</x:v>
      </x:c>
      <x:c r="E72" s="32" t="n">
        <x:f>XLOOKUP(B72,Mapa_Selecao!$A:$A,Mapa_Selecao!$G:$G,0)</x:f>
        <x:v>0</x:v>
      </x:c>
      <x:c r="F72" s="32" t="str"/>
      <x:c r="G72" s="32" t="e">
        <x:f>HYPERLINK("#'G5_QFD'!A1","Abrir")</x:f>
      </x:c>
    </x:row>
    <x:row r="73">
      <x:c r="A73" s="32" t="n">
        <x:v>70</x:v>
      </x:c>
      <x:c r="B73" s="32" t="str">
        <x:v>G5_CLAIMS</x:v>
      </x:c>
      <x:c r="C73" s="32" t="str">
        <x:v>Gate 5 — Conceito Final Aprovado</x:v>
      </x:c>
      <x:c r="D73" s="32" t="str">
        <x:v>Claims pretendidos</x:v>
      </x:c>
      <x:c r="E73" s="32" t="n">
        <x:f>XLOOKUP(B73,Mapa_Selecao!$A:$A,Mapa_Selecao!$G:$G,0)</x:f>
        <x:v>0</x:v>
      </x:c>
      <x:c r="F73" s="32" t="str"/>
      <x:c r="G73" s="32" t="e">
        <x:f>HYPERLINK("#'G5_CLAIMS'!A1","Abrir")</x:f>
      </x:c>
    </x:row>
    <x:row r="74">
      <x:c r="A74" s="32" t="n">
        <x:v>71</x:v>
      </x:c>
      <x:c r="B74" s="32" t="str">
        <x:v>G5_INCERT</x:v>
      </x:c>
      <x:c r="C74" s="32" t="str">
        <x:v>Gate 5 — Conceito Final Aprovado</x:v>
      </x:c>
      <x:c r="D74" s="32" t="str">
        <x:v>Mapa final de incertezas</x:v>
      </x:c>
      <x:c r="E74" s="32" t="n">
        <x:f>XLOOKUP(B74,Mapa_Selecao!$A:$A,Mapa_Selecao!$G:$G,0)</x:f>
        <x:v>0</x:v>
      </x:c>
      <x:c r="F74" s="32" t="str"/>
      <x:c r="G74" s="32" t="e">
        <x:f>HYPERLINK("#'G5_INCERT'!A1","Abrir")</x:f>
      </x:c>
    </x:row>
    <x:row r="75">
      <x:c r="A75" s="32" t="n">
        <x:v>72</x:v>
      </x:c>
      <x:c r="B75" s="32" t="str">
        <x:v>G5_APREND</x:v>
      </x:c>
      <x:c r="C75" s="32" t="str">
        <x:v>Gate 5 — Conceito Final Aprovado</x:v>
      </x:c>
      <x:c r="D75" s="32" t="str">
        <x:v>Plano de aprendizagem para projeto</x:v>
      </x:c>
      <x:c r="E75" s="32" t="n">
        <x:f>XLOOKUP(B75,Mapa_Selecao!$A:$A,Mapa_Selecao!$G:$G,0)</x:f>
        <x:v>0</x:v>
      </x:c>
      <x:c r="F75" s="32" t="str"/>
      <x:c r="G75" s="32" t="e">
        <x:f>HYPERLINK("#'G5_APREND'!A1","Abrir")</x:f>
      </x:c>
    </x:row>
    <x:row r="76">
      <x:c r="A76" s="32" t="n">
        <x:v>73</x:v>
      </x:c>
      <x:c r="B76" s="32" t="str">
        <x:v>G5_PREM</x:v>
      </x:c>
      <x:c r="C76" s="32" t="str">
        <x:v>Gate 5 — Conceito Final Aprovado</x:v>
      </x:c>
      <x:c r="D76" s="32" t="str">
        <x:v>Premissas e restrições do conceito</x:v>
      </x:c>
      <x:c r="E76" s="32" t="n">
        <x:f>XLOOKUP(B76,Mapa_Selecao!$A:$A,Mapa_Selecao!$G:$G,0)</x:f>
        <x:v>0</x:v>
      </x:c>
      <x:c r="F76" s="32" t="str"/>
      <x:c r="G76" s="32" t="e">
        <x:f>HYPERLINK("#'G5_PREM'!A1","Abrir")</x:f>
      </x:c>
    </x:row>
    <x:row r="77">
      <x:c r="A77" s="32" t="n">
        <x:v>74</x:v>
      </x:c>
      <x:c r="B77" s="32" t="str">
        <x:v>G5_RECOM</x:v>
      </x:c>
      <x:c r="C77" s="32" t="str">
        <x:v>Gate 5 — Conceito Final Aprovado</x:v>
      </x:c>
      <x:c r="D77" s="32" t="str">
        <x:v>Recomendações para próxima fase</x:v>
      </x:c>
      <x:c r="E77" s="32" t="n">
        <x:f>XLOOKUP(B77,Mapa_Selecao!$A:$A,Mapa_Selecao!$G:$G,0)</x:f>
        <x:v>0</x:v>
      </x:c>
      <x:c r="F77" s="32" t="str"/>
      <x:c r="G77" s="32" t="e">
        <x:f>HYPERLINK("#'G5_RECOM'!A1","Abrir")</x:f>
      </x:c>
    </x:row>
    <x:row r="78">
      <x:c r="A78" s="32" t="n">
        <x:v>75</x:v>
      </x:c>
      <x:c r="B78" s="32" t="str">
        <x:v>G5_ONEPAGE</x:v>
      </x:c>
      <x:c r="C78" s="32" t="str">
        <x:v>Gate 5 — Conceito Final Aprovado</x:v>
      </x:c>
      <x:c r="D78" s="32" t="str">
        <x:v>One-Page Concept</x:v>
      </x:c>
      <x:c r="E78" s="32" t="n">
        <x:f>XLOOKUP(B78,Mapa_Selecao!$A:$A,Mapa_Selecao!$G:$G,0)</x:f>
        <x:v>0</x:v>
      </x:c>
      <x:c r="F78" s="32" t="str"/>
      <x:c r="G78" s="32" t="e">
        <x:f>HYPERLINK("#'G5_ONEPAGE'!A1","Abrir")</x:f>
      </x:c>
    </x:row>
    <x:row r="79">
      <x:c r="A79" s="32" t="n">
        <x:v>76</x:v>
      </x:c>
      <x:c r="B79" s="32" t="str">
        <x:v>G5_RELFINAL</x:v>
      </x:c>
      <x:c r="C79" s="32" t="str">
        <x:v>Gate 5 — Conceito Final Aprovado</x:v>
      </x:c>
      <x:c r="D79" s="32" t="str">
        <x:v>Relatório final de conceito</x:v>
      </x:c>
      <x:c r="E79" s="32" t="n">
        <x:f>XLOOKUP(B79,Mapa_Selecao!$A:$A,Mapa_Selecao!$G:$G,0)</x:f>
        <x:v>0</x:v>
      </x:c>
      <x:c r="F79" s="32" t="str"/>
      <x:c r="G79" s="32" t="e">
        <x:f>HYPERLINK("#'G5_RELFINAL'!A1","Abrir")</x:f>
      </x:c>
    </x:row>
    <x:row r="80">
      <x:c r="A80" s="32" t="n">
        <x:v>77</x:v>
      </x:c>
      <x:c r="B80" s="32" t="str">
        <x:v>G5_TERMO</x:v>
      </x:c>
      <x:c r="C80" s="32" t="str">
        <x:v>Gate 5 — Conceito Final Aprovado</x:v>
      </x:c>
      <x:c r="D80" s="32" t="str">
        <x:v>Termo de conceito aprovado</x:v>
      </x:c>
      <x:c r="E80" s="32" t="n">
        <x:f>XLOOKUP(B80,Mapa_Selecao!$A:$A,Mapa_Selecao!$G:$G,0)</x:f>
        <x:v>0</x:v>
      </x:c>
      <x:c r="F80" s="32" t="str"/>
      <x:c r="G80" s="32" t="e">
        <x:f>HYPERLINK("#'G5_TERMO'!A1","Abrir")</x:f>
      </x:c>
    </x:row>
    <x:row r="81">
      <x:c r="A81" s="32" t="n">
        <x:v>78</x:v>
      </x:c>
      <x:c r="B81" s="32" t="str">
        <x:v>G5_TRANSFER</x:v>
      </x:c>
      <x:c r="C81" s="32" t="str">
        <x:v>Gate 5 — Conceito Final Aprovado</x:v>
      </x:c>
      <x:c r="D81" s="32" t="str">
        <x:v>Pacote de transferência conceitual</x:v>
      </x:c>
      <x:c r="E81" s="32" t="n">
        <x:f>XLOOKUP(B81,Mapa_Selecao!$A:$A,Mapa_Selecao!$G:$G,0)</x:f>
        <x:v>0</x:v>
      </x:c>
      <x:c r="F81" s="32" t="str"/>
      <x:c r="G81" s="32" t="e">
        <x:f>HYPERLINK("#'G5_TRANSFER'!A1","Abrir")</x:f>
      </x:c>
    </x:row>
    <x:row r="82">
      <x:c r="A82" s="32" t="n">
        <x:v>79</x:v>
      </x:c>
      <x:c r="B82" s="32" t="str">
        <x:v>G5_GONOGO</x:v>
      </x:c>
      <x:c r="C82" s="32" t="str">
        <x:v>Gate 5 — Conceito Final Aprovado</x:v>
      </x:c>
      <x:c r="D82" s="32" t="str">
        <x:v>Matriz Go/No-Go — Gate 5</x:v>
      </x:c>
      <x:c r="E82" s="32" t="n">
        <x:f>XLOOKUP(B82,Mapa_Selecao!$A:$A,Mapa_Selecao!$G:$G,0)</x:f>
        <x:v>0</x:v>
      </x:c>
      <x:c r="F82" s="32" t="str"/>
      <x:c r="G82" s="32" t="e">
        <x:f>HYPERLINK("#'G5_GONOGO'!A1","Abrir")</x:f>
      </x:c>
    </x:row>
  </x:sheetData>
  <x:mergeCells>
    <x:mergeCell ref="A1:G1"/>
    <x:mergeCell ref="A2:G2"/>
  </x:mergeCells>
  <x:dataValidations count="1">
    <x:dataValidation type="list" sqref="F4:F82">
      <x:formula1>"Não iniciado,Em preenchimento,Em revisão,Concluído"</x:formula1>
    </x:dataValidation>
  </x:dataValidation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32" hidden="0" customWidth="1"/>
    <x:col min="2" max="2" width="36" hidden="0" customWidth="1"/>
    <x:col min="3" max="3" width="36" hidden="0" customWidth="1"/>
    <x:col min="4" max="4" width="45" hidden="0" customWidth="1"/>
    <x:col min="5" max="5" width="18" hidden="0" customWidth="1"/>
    <x:col min="6" max="6" width="45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</x:cols>
  <x:sheetData>
    <x:row r="1">
      <x:c r="A1" s="4" t="str">
        <x:v>Relatório consolidado do conceito</x:v>
      </x:c>
      <x:c r="B1" s="4"/>
      <x:c r="C1" s="4"/>
      <x:c r="D1" s="4"/>
      <x:c r="E1" s="4"/>
      <x:c r="F1" s="4"/>
      <x:c r="G1" s="4"/>
      <x:c r="H1" s="4"/>
    </x:row>
    <x:row r="2">
      <x:c r="A2" s="11" t="str">
        <x:v>Síntese automática/manual dos cinco Gates.</x:v>
      </x:c>
      <x:c r="B2" s="11"/>
      <x:c r="C2" s="11"/>
      <x:c r="D2" s="11"/>
      <x:c r="E2" s="11"/>
      <x:c r="F2" s="11"/>
      <x:c r="G2" s="11"/>
      <x:c r="H2" s="11"/>
    </x:row>
    <x:row r="3">
      <x:c r="A3" s="20" t="str">
        <x:v>Gate</x:v>
      </x:c>
      <x:c r="B3" s="20" t="str">
        <x:v>Introdução</x:v>
      </x:c>
      <x:c r="C3" s="20" t="str">
        <x:v>Metodologia</x:v>
      </x:c>
      <x:c r="D3" s="20" t="str">
        <x:v>Resultados</x:v>
      </x:c>
      <x:c r="E3" s="20" t="str">
        <x:v>Decisão Go/No-Go</x:v>
      </x:c>
      <x:c r="F3" s="20" t="str">
        <x:v>Conclusão</x:v>
      </x:c>
      <x:c r="G3" s="20" t="str">
        <x:v>Responsável</x:v>
      </x:c>
      <x:c r="H3" s="20" t="str">
        <x:v>Status</x:v>
      </x:c>
    </x:row>
    <x:row r="4">
      <x:c r="A4" s="32" t="str">
        <x:v>Gate 1 — Oportunidade e Necessidade</x:v>
      </x:c>
      <x:c r="B4" s="32" t="str"/>
      <x:c r="C4" s="32" t="str"/>
      <x:c r="D4" s="32" t="str"/>
      <x:c r="E4" s="32" t="str"/>
      <x:c r="F4" s="32" t="str"/>
      <x:c r="G4" s="32" t="str"/>
      <x:c r="H4" s="32" t="str">
        <x:v>Não iniciado</x:v>
      </x:c>
    </x:row>
    <x:row r="5">
      <x:c r="A5" s="32" t="str">
        <x:v>Gate 2 — Estratégia e Requisitos</x:v>
      </x:c>
      <x:c r="B5" s="32" t="str"/>
      <x:c r="C5" s="32" t="str"/>
      <x:c r="D5" s="32" t="str"/>
      <x:c r="E5" s="32" t="str"/>
      <x:c r="F5" s="32" t="str"/>
      <x:c r="G5" s="32" t="str"/>
      <x:c r="H5" s="32" t="str">
        <x:v>Não iniciado</x:v>
      </x:c>
    </x:row>
    <x:row r="6">
      <x:c r="A6" s="32" t="str">
        <x:v>Gate 3 — Geração de Alternativas</x:v>
      </x:c>
      <x:c r="B6" s="32" t="str"/>
      <x:c r="C6" s="32" t="str"/>
      <x:c r="D6" s="32" t="str"/>
      <x:c r="E6" s="32" t="str"/>
      <x:c r="F6" s="32" t="str"/>
      <x:c r="G6" s="32" t="str"/>
      <x:c r="H6" s="32" t="str">
        <x:v>Não iniciado</x:v>
      </x:c>
    </x:row>
    <x:row r="7">
      <x:c r="A7" s="32" t="str">
        <x:v>Gate 4 — Seleção e Teste</x:v>
      </x:c>
      <x:c r="B7" s="32" t="str"/>
      <x:c r="C7" s="32" t="str"/>
      <x:c r="D7" s="32" t="str"/>
      <x:c r="E7" s="32" t="str"/>
      <x:c r="F7" s="32" t="str"/>
      <x:c r="G7" s="32" t="str"/>
      <x:c r="H7" s="32" t="str">
        <x:v>Não iniciado</x:v>
      </x:c>
    </x:row>
    <x:row r="8">
      <x:c r="A8" s="32" t="str">
        <x:v>Gate 5 — Conceito Final Aprovado</x:v>
      </x:c>
      <x:c r="B8" s="32" t="str"/>
      <x:c r="C8" s="32" t="str"/>
      <x:c r="D8" s="32" t="str"/>
      <x:c r="E8" s="32" t="str"/>
      <x:c r="F8" s="32" t="str"/>
      <x:c r="G8" s="32" t="str"/>
      <x:c r="H8" s="32" t="str">
        <x:v>Não iniciado</x:v>
      </x:c>
    </x:row>
  </x:sheetData>
  <x:mergeCells>
    <x:mergeCell ref="A1:H1"/>
    <x:mergeCell ref="A2:H2"/>
  </x:mergeCells>
  <x:dataValidations count="2">
    <x:dataValidation type="list" sqref="H4:H8">
      <x:formula1>"Não iniciado,Em preenchimento,Em revisão,Concluído"</x:formula1>
    </x:dataValidation>
    <x:dataValidation type="list" sqref="E4:E8">
      <x:formula1>"Go,No-Go,Revisar,Pausar"</x:formula1>
    </x:dataValidation>
  </x:dataValidation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30" hidden="0" customWidth="1"/>
    <x:col min="3" max="3" width="20" hidden="0" customWidth="1"/>
    <x:col min="4" max="4" width="20" hidden="0" customWidth="1"/>
    <x:col min="5" max="5" width="20" hidden="0" customWidth="1"/>
    <x:col min="6" max="6" width="20" hidden="0" customWidth="1"/>
    <x:col min="7" max="7" width="20" hidden="0" customWidth="1"/>
    <x:col min="8" max="8" width="20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</x:cols>
  <x:sheetData>
    <x:row r="1">
      <x:c r="A1" s="4" t="str">
        <x:v>Relatório — Gate 1 — Oportunidade e Necessidade</x:v>
      </x:c>
      <x:c r="B1" s="4"/>
      <x:c r="C1" s="4"/>
      <x:c r="D1" s="4"/>
      <x:c r="E1" s="4"/>
      <x:c r="F1" s="4"/>
      <x:c r="G1" s="4"/>
      <x:c r="H1" s="4"/>
    </x:row>
    <x:row r="2">
      <x:c r="A2" s="11" t="str">
        <x:v>Estrutura: Introdução, Metodologia, Resultados e Conclusão. A matriz Go/No-Go entra nos Resultados.</x:v>
      </x:c>
      <x:c r="B2" s="11"/>
      <x:c r="C2" s="11"/>
      <x:c r="D2" s="11"/>
      <x:c r="E2" s="11"/>
      <x:c r="F2" s="11"/>
      <x:c r="G2" s="11"/>
      <x:c r="H2" s="11"/>
    </x:row>
    <x:row r="3">
      <x:c r="A3" s="20" t="str">
        <x:v>Seção</x:v>
      </x:c>
      <x:c r="B3" s="20" t="str">
        <x:v>Conteúdo</x:v>
      </x:c>
      <x:c r="C3" s="20" t="str"/>
      <x:c r="D3" s="20" t="str"/>
      <x:c r="E3" s="20" t="str"/>
      <x:c r="F3" s="20" t="str"/>
      <x:c r="G3" s="20" t="str"/>
      <x:c r="H3" s="20" t="str"/>
    </x:row>
    <x:row r="4">
      <x:c r="A4" s="48" t="str">
        <x:v>Introdução</x:v>
      </x:c>
      <x:c r="B4" s="40" t="str">
        <x:v>Objetivo do Gate, contexto da oportunidade/produto e escopo desta etapa.</x:v>
      </x:c>
      <x:c r="C4" s="40"/>
      <x:c r="D4" s="40"/>
      <x:c r="E4" s="40"/>
      <x:c r="F4" s="40"/>
      <x:c r="G4" s="40"/>
      <x:c r="H4" s="40"/>
    </x:row>
    <x:row r="5">
      <x:c r="A5" s="48" t="str">
        <x:v>Metodologia</x:v>
      </x:c>
      <x:c r="B5" s="40" t="str">
        <x:v>Liste as ferramentas aplicadas neste Gate e como foram usadas.</x:v>
      </x:c>
      <x:c r="C5" s="40"/>
      <x:c r="D5" s="40"/>
      <x:c r="E5" s="40"/>
      <x:c r="F5" s="40"/>
      <x:c r="G5" s="40"/>
      <x:c r="H5" s="40"/>
    </x:row>
    <x:row r="6">
      <x:c r="A6" s="48" t="str">
        <x:v>Resultados</x:v>
      </x:c>
      <x:c r="B6" s="40" t="str">
        <x:v>Síntese dos resultados e referência à matriz Go/No-Go do Gate 1.</x:v>
      </x:c>
      <x:c r="C6" s="40"/>
      <x:c r="D6" s="40"/>
      <x:c r="E6" s="40"/>
      <x:c r="F6" s="40"/>
      <x:c r="G6" s="40"/>
      <x:c r="H6" s="40"/>
    </x:row>
    <x:row r="7">
      <x:c r="A7" s="48" t="str">
        <x:v>Conclusão</x:v>
      </x:c>
      <x:c r="B7" s="40" t="str">
        <x:v>Conclusão baseada diretamente na matriz Go/No-Go.</x:v>
      </x:c>
      <x:c r="C7" s="40"/>
      <x:c r="D7" s="40"/>
      <x:c r="E7" s="40"/>
      <x:c r="F7" s="40"/>
      <x:c r="G7" s="40"/>
      <x:c r="H7" s="40"/>
    </x:row>
  </x:sheetData>
  <x:mergeCells>
    <x:mergeCell ref="A1:H1"/>
    <x:mergeCell ref="A2:H2"/>
    <x:mergeCell ref="B4:H4"/>
    <x:mergeCell ref="B5:H5"/>
    <x:mergeCell ref="B6:H6"/>
    <x:mergeCell ref="B7:H7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30" hidden="0" customWidth="1"/>
    <x:col min="3" max="3" width="20" hidden="0" customWidth="1"/>
    <x:col min="4" max="4" width="20" hidden="0" customWidth="1"/>
    <x:col min="5" max="5" width="20" hidden="0" customWidth="1"/>
    <x:col min="6" max="6" width="20" hidden="0" customWidth="1"/>
    <x:col min="7" max="7" width="20" hidden="0" customWidth="1"/>
    <x:col min="8" max="8" width="20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</x:cols>
  <x:sheetData>
    <x:row r="1">
      <x:c r="A1" s="4" t="str">
        <x:v>Relatório — Gate 2 — Estratégia e Requisitos</x:v>
      </x:c>
      <x:c r="B1" s="4"/>
      <x:c r="C1" s="4"/>
      <x:c r="D1" s="4"/>
      <x:c r="E1" s="4"/>
      <x:c r="F1" s="4"/>
      <x:c r="G1" s="4"/>
      <x:c r="H1" s="4"/>
    </x:row>
    <x:row r="2">
      <x:c r="A2" s="11" t="str">
        <x:v>Estrutura: Introdução, Metodologia, Resultados e Conclusão. A matriz Go/No-Go entra nos Resultados.</x:v>
      </x:c>
      <x:c r="B2" s="11"/>
      <x:c r="C2" s="11"/>
      <x:c r="D2" s="11"/>
      <x:c r="E2" s="11"/>
      <x:c r="F2" s="11"/>
      <x:c r="G2" s="11"/>
      <x:c r="H2" s="11"/>
    </x:row>
    <x:row r="3">
      <x:c r="A3" s="20" t="str">
        <x:v>Seção</x:v>
      </x:c>
      <x:c r="B3" s="20" t="str">
        <x:v>Conteúdo</x:v>
      </x:c>
      <x:c r="C3" s="20" t="str"/>
      <x:c r="D3" s="20" t="str"/>
      <x:c r="E3" s="20" t="str"/>
      <x:c r="F3" s="20" t="str"/>
      <x:c r="G3" s="20" t="str"/>
      <x:c r="H3" s="20" t="str"/>
    </x:row>
    <x:row r="4">
      <x:c r="A4" s="48" t="str">
        <x:v>Introdução</x:v>
      </x:c>
      <x:c r="B4" s="40" t="str">
        <x:v>Objetivo do Gate, contexto da oportunidade/produto e escopo desta etapa.</x:v>
      </x:c>
      <x:c r="C4" s="40"/>
      <x:c r="D4" s="40"/>
      <x:c r="E4" s="40"/>
      <x:c r="F4" s="40"/>
      <x:c r="G4" s="40"/>
      <x:c r="H4" s="40"/>
    </x:row>
    <x:row r="5">
      <x:c r="A5" s="48" t="str">
        <x:v>Metodologia</x:v>
      </x:c>
      <x:c r="B5" s="40" t="str">
        <x:v>Liste as ferramentas aplicadas neste Gate e como foram usadas.</x:v>
      </x:c>
      <x:c r="C5" s="40"/>
      <x:c r="D5" s="40"/>
      <x:c r="E5" s="40"/>
      <x:c r="F5" s="40"/>
      <x:c r="G5" s="40"/>
      <x:c r="H5" s="40"/>
    </x:row>
    <x:row r="6">
      <x:c r="A6" s="48" t="str">
        <x:v>Resultados</x:v>
      </x:c>
      <x:c r="B6" s="40" t="str">
        <x:v>Síntese dos resultados e referência à matriz Go/No-Go do Gate 2.</x:v>
      </x:c>
      <x:c r="C6" s="40"/>
      <x:c r="D6" s="40"/>
      <x:c r="E6" s="40"/>
      <x:c r="F6" s="40"/>
      <x:c r="G6" s="40"/>
      <x:c r="H6" s="40"/>
    </x:row>
    <x:row r="7">
      <x:c r="A7" s="48" t="str">
        <x:v>Conclusão</x:v>
      </x:c>
      <x:c r="B7" s="40" t="str">
        <x:v>Conclusão baseada diretamente na matriz Go/No-Go.</x:v>
      </x:c>
      <x:c r="C7" s="40"/>
      <x:c r="D7" s="40"/>
      <x:c r="E7" s="40"/>
      <x:c r="F7" s="40"/>
      <x:c r="G7" s="40"/>
      <x:c r="H7" s="40"/>
    </x:row>
  </x:sheetData>
  <x:mergeCells>
    <x:mergeCell ref="A1:H1"/>
    <x:mergeCell ref="A2:H2"/>
    <x:mergeCell ref="B4:H4"/>
    <x:mergeCell ref="B5:H5"/>
    <x:mergeCell ref="B6:H6"/>
    <x:mergeCell ref="B7:H7"/>
  </x:mergeCell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30" hidden="0" customWidth="1"/>
    <x:col min="3" max="3" width="20" hidden="0" customWidth="1"/>
    <x:col min="4" max="4" width="20" hidden="0" customWidth="1"/>
    <x:col min="5" max="5" width="20" hidden="0" customWidth="1"/>
    <x:col min="6" max="6" width="20" hidden="0" customWidth="1"/>
    <x:col min="7" max="7" width="20" hidden="0" customWidth="1"/>
    <x:col min="8" max="8" width="20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</x:cols>
  <x:sheetData>
    <x:row r="1">
      <x:c r="A1" s="4" t="str">
        <x:v>Relatório — Gate 3 — Geração de Alternativas</x:v>
      </x:c>
      <x:c r="B1" s="4"/>
      <x:c r="C1" s="4"/>
      <x:c r="D1" s="4"/>
      <x:c r="E1" s="4"/>
      <x:c r="F1" s="4"/>
      <x:c r="G1" s="4"/>
      <x:c r="H1" s="4"/>
    </x:row>
    <x:row r="2">
      <x:c r="A2" s="11" t="str">
        <x:v>Estrutura: Introdução, Metodologia, Resultados e Conclusão. A matriz Go/No-Go entra nos Resultados.</x:v>
      </x:c>
      <x:c r="B2" s="11"/>
      <x:c r="C2" s="11"/>
      <x:c r="D2" s="11"/>
      <x:c r="E2" s="11"/>
      <x:c r="F2" s="11"/>
      <x:c r="G2" s="11"/>
      <x:c r="H2" s="11"/>
    </x:row>
    <x:row r="3">
      <x:c r="A3" s="20" t="str">
        <x:v>Seção</x:v>
      </x:c>
      <x:c r="B3" s="20" t="str">
        <x:v>Conteúdo</x:v>
      </x:c>
      <x:c r="C3" s="20" t="str"/>
      <x:c r="D3" s="20" t="str"/>
      <x:c r="E3" s="20" t="str"/>
      <x:c r="F3" s="20" t="str"/>
      <x:c r="G3" s="20" t="str"/>
      <x:c r="H3" s="20" t="str"/>
    </x:row>
    <x:row r="4">
      <x:c r="A4" s="48" t="str">
        <x:v>Introdução</x:v>
      </x:c>
      <x:c r="B4" s="40" t="str">
        <x:v>Objetivo do Gate, contexto da oportunidade/produto e escopo desta etapa.</x:v>
      </x:c>
      <x:c r="C4" s="40"/>
      <x:c r="D4" s="40"/>
      <x:c r="E4" s="40"/>
      <x:c r="F4" s="40"/>
      <x:c r="G4" s="40"/>
      <x:c r="H4" s="40"/>
    </x:row>
    <x:row r="5">
      <x:c r="A5" s="48" t="str">
        <x:v>Metodologia</x:v>
      </x:c>
      <x:c r="B5" s="40" t="str">
        <x:v>Liste as ferramentas aplicadas neste Gate e como foram usadas.</x:v>
      </x:c>
      <x:c r="C5" s="40"/>
      <x:c r="D5" s="40"/>
      <x:c r="E5" s="40"/>
      <x:c r="F5" s="40"/>
      <x:c r="G5" s="40"/>
      <x:c r="H5" s="40"/>
    </x:row>
    <x:row r="6">
      <x:c r="A6" s="48" t="str">
        <x:v>Resultados</x:v>
      </x:c>
      <x:c r="B6" s="40" t="str">
        <x:v>Síntese dos resultados e referência à matriz Go/No-Go do Gate 3.</x:v>
      </x:c>
      <x:c r="C6" s="40"/>
      <x:c r="D6" s="40"/>
      <x:c r="E6" s="40"/>
      <x:c r="F6" s="40"/>
      <x:c r="G6" s="40"/>
      <x:c r="H6" s="40"/>
    </x:row>
    <x:row r="7">
      <x:c r="A7" s="48" t="str">
        <x:v>Conclusão</x:v>
      </x:c>
      <x:c r="B7" s="40" t="str">
        <x:v>Conclusão baseada diretamente na matriz Go/No-Go.</x:v>
      </x:c>
      <x:c r="C7" s="40"/>
      <x:c r="D7" s="40"/>
      <x:c r="E7" s="40"/>
      <x:c r="F7" s="40"/>
      <x:c r="G7" s="40"/>
      <x:c r="H7" s="40"/>
    </x:row>
  </x:sheetData>
  <x:mergeCells>
    <x:mergeCell ref="A1:H1"/>
    <x:mergeCell ref="A2:H2"/>
    <x:mergeCell ref="B4:H4"/>
    <x:mergeCell ref="B5:H5"/>
    <x:mergeCell ref="B6:H6"/>
    <x:mergeCell ref="B7:H7"/>
  </x:mergeCells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30" hidden="0" customWidth="1"/>
    <x:col min="3" max="3" width="20" hidden="0" customWidth="1"/>
    <x:col min="4" max="4" width="20" hidden="0" customWidth="1"/>
    <x:col min="5" max="5" width="20" hidden="0" customWidth="1"/>
    <x:col min="6" max="6" width="20" hidden="0" customWidth="1"/>
    <x:col min="7" max="7" width="20" hidden="0" customWidth="1"/>
    <x:col min="8" max="8" width="20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</x:cols>
  <x:sheetData>
    <x:row r="1">
      <x:c r="A1" s="4" t="str">
        <x:v>Relatório — Gate 4 — Seleção e Teste</x:v>
      </x:c>
      <x:c r="B1" s="4"/>
      <x:c r="C1" s="4"/>
      <x:c r="D1" s="4"/>
      <x:c r="E1" s="4"/>
      <x:c r="F1" s="4"/>
      <x:c r="G1" s="4"/>
      <x:c r="H1" s="4"/>
    </x:row>
    <x:row r="2">
      <x:c r="A2" s="11" t="str">
        <x:v>Estrutura: Introdução, Metodologia, Resultados e Conclusão. A matriz Go/No-Go entra nos Resultados.</x:v>
      </x:c>
      <x:c r="B2" s="11"/>
      <x:c r="C2" s="11"/>
      <x:c r="D2" s="11"/>
      <x:c r="E2" s="11"/>
      <x:c r="F2" s="11"/>
      <x:c r="G2" s="11"/>
      <x:c r="H2" s="11"/>
    </x:row>
    <x:row r="3">
      <x:c r="A3" s="20" t="str">
        <x:v>Seção</x:v>
      </x:c>
      <x:c r="B3" s="20" t="str">
        <x:v>Conteúdo</x:v>
      </x:c>
      <x:c r="C3" s="20" t="str"/>
      <x:c r="D3" s="20" t="str"/>
      <x:c r="E3" s="20" t="str"/>
      <x:c r="F3" s="20" t="str"/>
      <x:c r="G3" s="20" t="str"/>
      <x:c r="H3" s="20" t="str"/>
    </x:row>
    <x:row r="4">
      <x:c r="A4" s="48" t="str">
        <x:v>Introdução</x:v>
      </x:c>
      <x:c r="B4" s="40" t="str">
        <x:v>Objetivo do Gate, contexto da oportunidade/produto e escopo desta etapa.</x:v>
      </x:c>
      <x:c r="C4" s="40"/>
      <x:c r="D4" s="40"/>
      <x:c r="E4" s="40"/>
      <x:c r="F4" s="40"/>
      <x:c r="G4" s="40"/>
      <x:c r="H4" s="40"/>
    </x:row>
    <x:row r="5">
      <x:c r="A5" s="48" t="str">
        <x:v>Metodologia</x:v>
      </x:c>
      <x:c r="B5" s="40" t="str">
        <x:v>Liste as ferramentas aplicadas neste Gate e como foram usadas.</x:v>
      </x:c>
      <x:c r="C5" s="40"/>
      <x:c r="D5" s="40"/>
      <x:c r="E5" s="40"/>
      <x:c r="F5" s="40"/>
      <x:c r="G5" s="40"/>
      <x:c r="H5" s="40"/>
    </x:row>
    <x:row r="6">
      <x:c r="A6" s="48" t="str">
        <x:v>Resultados</x:v>
      </x:c>
      <x:c r="B6" s="40" t="str">
        <x:v>Síntese dos resultados e referência à matriz Go/No-Go do Gate 4.</x:v>
      </x:c>
      <x:c r="C6" s="40"/>
      <x:c r="D6" s="40"/>
      <x:c r="E6" s="40"/>
      <x:c r="F6" s="40"/>
      <x:c r="G6" s="40"/>
      <x:c r="H6" s="40"/>
    </x:row>
    <x:row r="7">
      <x:c r="A7" s="48" t="str">
        <x:v>Conclusão</x:v>
      </x:c>
      <x:c r="B7" s="40" t="str">
        <x:v>Conclusão baseada diretamente na matriz Go/No-Go.</x:v>
      </x:c>
      <x:c r="C7" s="40"/>
      <x:c r="D7" s="40"/>
      <x:c r="E7" s="40"/>
      <x:c r="F7" s="40"/>
      <x:c r="G7" s="40"/>
      <x:c r="H7" s="40"/>
    </x:row>
  </x:sheetData>
  <x:mergeCells>
    <x:mergeCell ref="A1:H1"/>
    <x:mergeCell ref="A2:H2"/>
    <x:mergeCell ref="B4:H4"/>
    <x:mergeCell ref="B5:H5"/>
    <x:mergeCell ref="B6:H6"/>
    <x:mergeCell ref="B7:H7"/>
  </x:mergeCells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30" hidden="0" customWidth="1"/>
    <x:col min="3" max="3" width="20" hidden="0" customWidth="1"/>
    <x:col min="4" max="4" width="20" hidden="0" customWidth="1"/>
    <x:col min="5" max="5" width="20" hidden="0" customWidth="1"/>
    <x:col min="6" max="6" width="20" hidden="0" customWidth="1"/>
    <x:col min="7" max="7" width="20" hidden="0" customWidth="1"/>
    <x:col min="8" max="8" width="20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</x:cols>
  <x:sheetData>
    <x:row r="1">
      <x:c r="A1" s="4" t="str">
        <x:v>Relatório — Gate 5 — Conceito Final Aprovado</x:v>
      </x:c>
      <x:c r="B1" s="4"/>
      <x:c r="C1" s="4"/>
      <x:c r="D1" s="4"/>
      <x:c r="E1" s="4"/>
      <x:c r="F1" s="4"/>
      <x:c r="G1" s="4"/>
      <x:c r="H1" s="4"/>
    </x:row>
    <x:row r="2">
      <x:c r="A2" s="11" t="str">
        <x:v>Estrutura: Introdução, Metodologia, Resultados e Conclusão. A matriz Go/No-Go entra nos Resultados.</x:v>
      </x:c>
      <x:c r="B2" s="11"/>
      <x:c r="C2" s="11"/>
      <x:c r="D2" s="11"/>
      <x:c r="E2" s="11"/>
      <x:c r="F2" s="11"/>
      <x:c r="G2" s="11"/>
      <x:c r="H2" s="11"/>
    </x:row>
    <x:row r="3">
      <x:c r="A3" s="20" t="str">
        <x:v>Seção</x:v>
      </x:c>
      <x:c r="B3" s="20" t="str">
        <x:v>Conteúdo</x:v>
      </x:c>
      <x:c r="C3" s="20" t="str"/>
      <x:c r="D3" s="20" t="str"/>
      <x:c r="E3" s="20" t="str"/>
      <x:c r="F3" s="20" t="str"/>
      <x:c r="G3" s="20" t="str"/>
      <x:c r="H3" s="20" t="str"/>
    </x:row>
    <x:row r="4">
      <x:c r="A4" s="48" t="str">
        <x:v>Introdução</x:v>
      </x:c>
      <x:c r="B4" s="40" t="str">
        <x:v>Objetivo do Gate, contexto da oportunidade/produto e escopo desta etapa.</x:v>
      </x:c>
      <x:c r="C4" s="40"/>
      <x:c r="D4" s="40"/>
      <x:c r="E4" s="40"/>
      <x:c r="F4" s="40"/>
      <x:c r="G4" s="40"/>
      <x:c r="H4" s="40"/>
    </x:row>
    <x:row r="5">
      <x:c r="A5" s="48" t="str">
        <x:v>Metodologia</x:v>
      </x:c>
      <x:c r="B5" s="40" t="str">
        <x:v>Liste as ferramentas aplicadas neste Gate e como foram usadas.</x:v>
      </x:c>
      <x:c r="C5" s="40"/>
      <x:c r="D5" s="40"/>
      <x:c r="E5" s="40"/>
      <x:c r="F5" s="40"/>
      <x:c r="G5" s="40"/>
      <x:c r="H5" s="40"/>
    </x:row>
    <x:row r="6">
      <x:c r="A6" s="48" t="str">
        <x:v>Resultados</x:v>
      </x:c>
      <x:c r="B6" s="40" t="str">
        <x:v>Síntese dos resultados e referência à matriz Go/No-Go do Gate 5.</x:v>
      </x:c>
      <x:c r="C6" s="40"/>
      <x:c r="D6" s="40"/>
      <x:c r="E6" s="40"/>
      <x:c r="F6" s="40"/>
      <x:c r="G6" s="40"/>
      <x:c r="H6" s="40"/>
    </x:row>
    <x:row r="7">
      <x:c r="A7" s="48" t="str">
        <x:v>Conclusão</x:v>
      </x:c>
      <x:c r="B7" s="40" t="str">
        <x:v>Conclusão baseada diretamente na matriz Go/No-Go.</x:v>
      </x:c>
      <x:c r="C7" s="40"/>
      <x:c r="D7" s="40"/>
      <x:c r="E7" s="40"/>
      <x:c r="F7" s="40"/>
      <x:c r="G7" s="40"/>
      <x:c r="H7" s="40"/>
    </x:row>
  </x:sheetData>
  <x:mergeCells>
    <x:mergeCell ref="A1:H1"/>
    <x:mergeCell ref="A2:H2"/>
    <x:mergeCell ref="B4:H4"/>
    <x:mergeCell ref="B5:H5"/>
    <x:mergeCell ref="B6:H6"/>
    <x:mergeCell ref="B7:H7"/>
  </x:mergeCells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38" hidden="0" customWidth="1"/>
    <x:col min="3" max="3" width="28" hidden="0" customWidth="1"/>
    <x:col min="4" max="4" width="42" hidden="0" customWidth="1"/>
    <x:col min="5" max="5" width="18" hidden="0" customWidth="1"/>
    <x:col min="6" max="6" width="16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</x:cols>
  <x:sheetData>
    <x:row r="1">
      <x:c r="A1" s="4" t="str">
        <x:v>Declaração da oportunidade</x:v>
      </x:c>
      <x:c r="B1" s="4"/>
      <x:c r="C1" s="4"/>
      <x:c r="D1" s="4"/>
      <x:c r="E1" s="4"/>
      <x:c r="F1" s="4"/>
      <x:c r="G1" s="4"/>
      <x:c r="H1" s="4"/>
    </x:row>
    <x:row r="2">
      <x:c r="A2" s="11" t="str">
        <x:v>Ferramenta do ciclo de idealização até conceito aprovado. Preencha somente quando aplicável ao produto.</x:v>
      </x:c>
      <x:c r="B2" s="11"/>
      <x:c r="C2" s="11"/>
      <x:c r="D2" s="11"/>
      <x:c r="E2" s="11"/>
      <x:c r="F2" s="11"/>
      <x:c r="G2" s="11"/>
      <x:c r="H2" s="11"/>
    </x:row>
    <x:row r="3">
      <x:c r="A3" s="58" t="str">
        <x:v>Código</x:v>
      </x:c>
      <x:c r="B3" s="32" t="str">
        <x:v>G1_DECL</x:v>
      </x:c>
      <x:c r="C3" s="32" t="str"/>
      <x:c r="D3" s="58" t="str">
        <x:v>Gate</x:v>
      </x:c>
      <x:c r="E3" s="32" t="str">
        <x:v>Gate 1 — Oportunidade e Necessidade</x:v>
      </x:c>
      <x:c r="F3" s="32" t="str"/>
      <x:c r="G3" s="58" t="str">
        <x:v>Tipo</x:v>
      </x:c>
      <x:c r="H3" s="32" t="str">
        <x:v>Base</x:v>
      </x:c>
    </x:row>
    <x:row r="4">
      <x:c r="A4" s="58" t="str">
        <x:v>Propósito</x:v>
      </x:c>
      <x:c r="B4" s="32" t="str">
        <x:v>Descrever problema, origem e hipótese inicial</x:v>
      </x:c>
      <x:c r="C4" s="32" t="str"/>
      <x:c r="D4" s="58" t="str">
        <x:v>Quando usar</x:v>
      </x:c>
      <x:c r="E4" s="32" t="str">
        <x:v>Conforme pacote inteligente / Mapa_Selecao</x:v>
      </x:c>
      <x:c r="F4" s="32" t="str"/>
      <x:c r="G4" s="58" t="str">
        <x:v>Observações</x:v>
      </x:c>
      <x:c r="H4" s="32" t="str">
        <x:v>Não substitui projeto detalhado; registra hipóteses, alertas e incertezas.</x:v>
      </x:c>
    </x:row>
    <x:row r="5">
      <x:c r="A5" s="58" t="str">
        <x:v>Produto</x:v>
      </x:c>
      <x:c r="B5" s="32" t="str">
        <x:f>IF(Dashboard!B4="","",Dashboard!B4)</x:f>
      </x:c>
      <x:c r="C5" s="32" t="str"/>
      <x:c r="D5" s="58" t="str">
        <x:v>Responsável</x:v>
      </x:c>
      <x:c r="E5" s="32" t="str">
        <x:f>IF(Dashboard!B6="","",Dashboard!B6)</x:f>
      </x:c>
      <x:c r="F5" s="32" t="str"/>
      <x:c r="G5" s="58" t="str">
        <x:v>Status</x:v>
      </x:c>
      <x:c r="H5" s="32" t="str"/>
    </x:row>
    <x:row r="6">
      <x:c r="A6" s="61" t="e">
        <x:f>HYPERLINK("#'Dashboard'!A1","← Dashboard")</x:f>
      </x:c>
      <x:c r="B6" s="61" t="e">
        <x:f>HYPERLINK("#'Indice'!A1","Índice")</x:f>
      </x:c>
      <x:c r="C6" s="61" t="e">
        <x:f>HYPERLINK("#'Mapa_Selecao'!A1","Mapa de seleção")</x:f>
      </x:c>
    </x:row>
    <x:row r="8">
      <x:c r="A8" s="66" t="str">
        <x:v>Formulário de aplicação da ferramenta</x:v>
      </x:c>
      <x:c r="B8" s="66"/>
      <x:c r="C8" s="66"/>
      <x:c r="D8" s="66"/>
      <x:c r="E8" s="66"/>
      <x:c r="F8" s="66"/>
    </x:row>
    <x:row r="9">
      <x:c r="A9" s="20" t="str">
        <x:v>Item</x:v>
      </x:c>
      <x:c r="B9" s="20" t="str">
        <x:v>Pergunta / campo</x:v>
      </x:c>
      <x:c r="C9" s="20" t="str">
        <x:v>Resposta</x:v>
      </x:c>
      <x:c r="D9" s="20" t="str">
        <x:v>Evidência / observação</x:v>
      </x:c>
      <x:c r="E9" s="20" t="str">
        <x:v>Responsável</x:v>
      </x:c>
      <x:c r="F9" s="20" t="str">
        <x:v>Status</x:v>
      </x:c>
    </x:row>
    <x:row r="10">
      <x:c r="A10" s="32" t="str">
        <x:v>1</x:v>
      </x:c>
      <x:c r="B10" s="32" t="str">
        <x:v>Qual é o objetivo desta ferramenta para este produto?</x:v>
      </x:c>
      <x:c r="C10" s="32" t="str"/>
      <x:c r="D10" s="32" t="str"/>
      <x:c r="E10" s="32" t="str"/>
      <x:c r="F10" s="32" t="str"/>
    </x:row>
    <x:row r="11">
      <x:c r="A11" s="32" t="str">
        <x:v>2</x:v>
      </x:c>
      <x:c r="B11" s="32" t="str">
        <x:v>Quais informações já estão disponíveis?</x:v>
      </x:c>
      <x:c r="C11" s="32" t="str"/>
      <x:c r="D11" s="32" t="str"/>
      <x:c r="E11" s="32" t="str"/>
      <x:c r="F11" s="32" t="str"/>
    </x:row>
    <x:row r="12">
      <x:c r="A12" s="32" t="str">
        <x:v>3</x:v>
      </x:c>
      <x:c r="B12" s="32" t="str">
        <x:v>Quais informações ainda estão pendentes?</x:v>
      </x:c>
      <x:c r="C12" s="32" t="str"/>
      <x:c r="D12" s="32" t="str"/>
      <x:c r="E12" s="32" t="str"/>
      <x:c r="F12" s="32" t="str"/>
    </x:row>
    <x:row r="13">
      <x:c r="A13" s="32" t="str">
        <x:v>4</x:v>
      </x:c>
      <x:c r="B13" s="32" t="str">
        <x:v>Quais achados impactam o conceito?</x:v>
      </x:c>
      <x:c r="C13" s="32" t="str"/>
      <x:c r="D13" s="32" t="str"/>
      <x:c r="E13" s="32" t="str"/>
      <x:c r="F13" s="32" t="str"/>
    </x:row>
    <x:row r="14">
      <x:c r="A14" s="32" t="str">
        <x:v>5</x:v>
      </x:c>
      <x:c r="B14" s="32" t="str">
        <x:v>Quais incertezas devem seguir para o próximo Gate?</x:v>
      </x:c>
      <x:c r="C14" s="32" t="str"/>
      <x:c r="D14" s="32" t="str"/>
      <x:c r="E14" s="32" t="str"/>
      <x:c r="F14" s="32" t="str"/>
    </x:row>
    <x:row r="15">
      <x:c r="A15" s="32"/>
      <x:c r="B15" s="32"/>
      <x:c r="C15" s="32"/>
      <x:c r="D15" s="32"/>
      <x:c r="E15" s="32"/>
      <x:c r="F15" s="32"/>
    </x:row>
    <x:row r="16">
      <x:c r="A16" s="32"/>
      <x:c r="B16" s="32"/>
      <x:c r="C16" s="32"/>
      <x:c r="D16" s="32"/>
      <x:c r="E16" s="32"/>
      <x:c r="F16" s="32"/>
    </x:row>
    <x:row r="17">
      <x:c r="A17" s="32"/>
      <x:c r="B17" s="32"/>
      <x:c r="C17" s="32"/>
      <x:c r="D17" s="32"/>
      <x:c r="E17" s="32"/>
      <x:c r="F17" s="32"/>
    </x:row>
    <x:row r="18">
      <x:c r="A18" s="32"/>
      <x:c r="B18" s="32"/>
      <x:c r="C18" s="32"/>
      <x:c r="D18" s="32"/>
      <x:c r="E18" s="32"/>
      <x:c r="F18" s="32"/>
    </x:row>
    <x:row r="19">
      <x:c r="A19" s="32"/>
      <x:c r="B19" s="32"/>
      <x:c r="C19" s="32"/>
      <x:c r="D19" s="32"/>
      <x:c r="E19" s="32"/>
      <x:c r="F19" s="32"/>
    </x:row>
    <x:row r="20">
      <x:c r="A20" s="32"/>
      <x:c r="B20" s="32"/>
      <x:c r="C20" s="32"/>
      <x:c r="D20" s="32"/>
      <x:c r="E20" s="32"/>
      <x:c r="F20" s="32"/>
    </x:row>
  </x:sheetData>
  <x:mergeCells>
    <x:mergeCell ref="A1:H1"/>
    <x:mergeCell ref="A2:H2"/>
    <x:mergeCell ref="A8:F8"/>
  </x:mergeCells>
  <x:dataValidations count="2">
    <x:dataValidation type="list" sqref="H5">
      <x:formula1>"Não iniciado,Em preenchimento,Em revisão,Concluído"</x:formula1>
    </x:dataValidation>
    <x:dataValidation type="list" sqref="F10:F20">
      <x:formula1>"Não iniciado,Em preenchimento,Concluído,N/A"</x:formula1>
    </x:dataValidation>
  </x:dataValidations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48" hidden="0" customWidth="1"/>
    <x:col min="3" max="3" width="60" hidden="0" customWidth="1"/>
    <x:col min="4" max="4" width="20" hidden="0" customWidth="1"/>
    <x:col min="5" max="5" width="20" hidden="0" customWidth="1"/>
    <x:col min="6" max="6" width="20" hidden="0" customWidth="1"/>
    <x:col min="7" max="7" width="20" hidden="0" customWidth="1"/>
    <x:col min="8" max="8" width="20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</x:cols>
  <x:sheetData>
    <x:row r="1">
      <x:c r="A1" s="4" t="str">
        <x:v>5W2H da oportunidade</x:v>
      </x:c>
      <x:c r="B1" s="4"/>
      <x:c r="C1" s="4"/>
      <x:c r="D1" s="4"/>
      <x:c r="E1" s="4"/>
      <x:c r="F1" s="4"/>
      <x:c r="G1" s="4"/>
      <x:c r="H1" s="4"/>
    </x:row>
    <x:row r="2">
      <x:c r="A2" s="11" t="str">
        <x:v>Ferramenta do ciclo de idealização até conceito aprovado. Preencha somente quando aplicável ao produto.</x:v>
      </x:c>
      <x:c r="B2" s="11"/>
      <x:c r="C2" s="11"/>
      <x:c r="D2" s="11"/>
      <x:c r="E2" s="11"/>
      <x:c r="F2" s="11"/>
      <x:c r="G2" s="11"/>
      <x:c r="H2" s="11"/>
    </x:row>
    <x:row r="3">
      <x:c r="A3" s="58" t="str">
        <x:v>Código</x:v>
      </x:c>
      <x:c r="B3" s="32" t="str">
        <x:v>G1_5W2H</x:v>
      </x:c>
      <x:c r="C3" s="32" t="str"/>
      <x:c r="D3" s="58" t="str">
        <x:v>Gate</x:v>
      </x:c>
      <x:c r="E3" s="32" t="str">
        <x:v>Gate 1 — Oportunidade e Necessidade</x:v>
      </x:c>
      <x:c r="F3" s="32" t="str"/>
      <x:c r="G3" s="58" t="str">
        <x:v>Tipo</x:v>
      </x:c>
      <x:c r="H3" s="32" t="str">
        <x:v>Base</x:v>
      </x:c>
    </x:row>
    <x:row r="4">
      <x:c r="A4" s="58" t="str">
        <x:v>Propósito</x:v>
      </x:c>
      <x:c r="B4" s="32" t="str">
        <x:v>Organizar informações básicas da ideia</x:v>
      </x:c>
      <x:c r="C4" s="32" t="str"/>
      <x:c r="D4" s="58" t="str">
        <x:v>Quando usar</x:v>
      </x:c>
      <x:c r="E4" s="32" t="str">
        <x:v>Conforme pacote inteligente / Mapa_Selecao</x:v>
      </x:c>
      <x:c r="F4" s="32" t="str"/>
      <x:c r="G4" s="58" t="str">
        <x:v>Observações</x:v>
      </x:c>
      <x:c r="H4" s="32" t="str">
        <x:v>Não substitui projeto detalhado; registra hipóteses, alertas e incertezas.</x:v>
      </x:c>
    </x:row>
    <x:row r="5">
      <x:c r="A5" s="58" t="str">
        <x:v>Produto</x:v>
      </x:c>
      <x:c r="B5" s="32" t="str">
        <x:f>IF(Dashboard!B4="","",Dashboard!B4)</x:f>
      </x:c>
      <x:c r="C5" s="32" t="str"/>
      <x:c r="D5" s="58" t="str">
        <x:v>Responsável</x:v>
      </x:c>
      <x:c r="E5" s="32" t="str">
        <x:f>IF(Dashboard!B6="","",Dashboard!B6)</x:f>
      </x:c>
      <x:c r="F5" s="32" t="str"/>
      <x:c r="G5" s="58" t="str">
        <x:v>Status</x:v>
      </x:c>
      <x:c r="H5" s="32" t="str"/>
    </x:row>
    <x:row r="6">
      <x:c r="A6" s="61" t="e">
        <x:f>HYPERLINK("#'Dashboard'!A1","← Dashboard")</x:f>
      </x:c>
      <x:c r="B6" s="61" t="e">
        <x:f>HYPERLINK("#'Indice'!A1","Índice")</x:f>
      </x:c>
      <x:c r="C6" s="61" t="e">
        <x:f>HYPERLINK("#'Mapa_Selecao'!A1","Mapa de seleção")</x:f>
      </x:c>
    </x:row>
    <x:row r="8">
      <x:c r="A8" s="66" t="str">
        <x:v>5W2H da oportunidade</x:v>
      </x:c>
      <x:c r="B8" s="66" t="str"/>
      <x:c r="C8" s="66" t="str"/>
    </x:row>
    <x:row r="9">
      <x:c r="A9" s="20" t="str">
        <x:v>Dimensão</x:v>
      </x:c>
      <x:c r="B9" s="20" t="str">
        <x:v>Pergunta</x:v>
      </x:c>
      <x:c r="C9" s="20" t="str">
        <x:v>Resposta</x:v>
      </x:c>
    </x:row>
    <x:row r="10">
      <x:c r="A10" s="32" t="str">
        <x:v>What / O quê?</x:v>
      </x:c>
      <x:c r="B10" s="32" t="str">
        <x:v>O que está sendo proposto?</x:v>
      </x:c>
      <x:c r="C10" s="32" t="str"/>
    </x:row>
    <x:row r="11">
      <x:c r="A11" s="32" t="str">
        <x:v>Why / Por quê?</x:v>
      </x:c>
      <x:c r="B11" s="32" t="str">
        <x:v>Por que esta oportunidade existe?</x:v>
      </x:c>
      <x:c r="C11" s="32" t="str"/>
    </x:row>
    <x:row r="12">
      <x:c r="A12" s="32" t="str">
        <x:v>Who / Quem?</x:v>
      </x:c>
      <x:c r="B12" s="32" t="str">
        <x:v>Quem são usuários, clientes e impactados?</x:v>
      </x:c>
      <x:c r="C12" s="32" t="str"/>
    </x:row>
    <x:row r="13">
      <x:c r="A13" s="32" t="str">
        <x:v>Where / Onde?</x:v>
      </x:c>
      <x:c r="B13" s="32" t="str">
        <x:v>Onde o produto será usado?</x:v>
      </x:c>
      <x:c r="C13" s="32" t="str"/>
    </x:row>
    <x:row r="14">
      <x:c r="A14" s="32" t="str">
        <x:v>When / Quando?</x:v>
      </x:c>
      <x:c r="B14" s="32" t="str">
        <x:v>Qual horizonte de decisão/conceito?</x:v>
      </x:c>
      <x:c r="C14" s="32" t="str"/>
    </x:row>
    <x:row r="15">
      <x:c r="A15" s="32" t="str">
        <x:v>How / Como?</x:v>
      </x:c>
      <x:c r="B15" s="32" t="str">
        <x:v>Como a oportunidade pode ser explorada?</x:v>
      </x:c>
      <x:c r="C15" s="32" t="str"/>
    </x:row>
    <x:row r="16">
      <x:c r="A16" s="32" t="str">
        <x:v>How much / Quanto?</x:v>
      </x:c>
      <x:c r="B16" s="32" t="str">
        <x:v>Qual ordem de grandeza de investimento/custo?</x:v>
      </x:c>
      <x:c r="C16" s="32" t="str"/>
    </x:row>
  </x:sheetData>
  <x:mergeCells>
    <x:mergeCell ref="A1:H1"/>
    <x:mergeCell ref="A2:H2"/>
    <x:mergeCell ref="A8:C8"/>
  </x:mergeCells>
  <x:dataValidations count="1">
    <x:dataValidation type="list" sqref="H5">
      <x:formula1>"Não iniciado,Em preenchimento,Em revisão,Concluído"</x:formula1>
    </x:dataValidation>
  </x:dataValidations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4" hidden="0" customWidth="1"/>
    <x:col min="3" max="3" width="36" hidden="0" customWidth="1"/>
    <x:col min="4" max="4" width="14" hidden="0" customWidth="1"/>
    <x:col min="5" max="5" width="14" hidden="0" customWidth="1"/>
    <x:col min="6" max="6" width="28" hidden="0" customWidth="1"/>
    <x:col min="7" max="7" width="36" hidden="0" customWidth="1"/>
    <x:col min="8" max="8" width="22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</x:cols>
  <x:sheetData>
    <x:row r="1">
      <x:c r="A1" s="4" t="str">
        <x:v>Mapa de stakeholders</x:v>
      </x:c>
      <x:c r="B1" s="4"/>
      <x:c r="C1" s="4"/>
      <x:c r="D1" s="4"/>
      <x:c r="E1" s="4"/>
      <x:c r="F1" s="4"/>
      <x:c r="G1" s="4"/>
      <x:c r="H1" s="4"/>
    </x:row>
    <x:row r="2">
      <x:c r="A2" s="11" t="str">
        <x:v>Ferramenta do ciclo de idealização até conceito aprovado. Preencha somente quando aplicável ao produto.</x:v>
      </x:c>
      <x:c r="B2" s="11"/>
      <x:c r="C2" s="11"/>
      <x:c r="D2" s="11"/>
      <x:c r="E2" s="11"/>
      <x:c r="F2" s="11"/>
      <x:c r="G2" s="11"/>
      <x:c r="H2" s="11"/>
    </x:row>
    <x:row r="3">
      <x:c r="A3" s="58" t="str">
        <x:v>Código</x:v>
      </x:c>
      <x:c r="B3" s="32" t="str">
        <x:v>G1_STAKE</x:v>
      </x:c>
      <x:c r="C3" s="32" t="str"/>
      <x:c r="D3" s="58" t="str">
        <x:v>Gate</x:v>
      </x:c>
      <x:c r="E3" s="32" t="str">
        <x:v>Gate 1 — Oportunidade e Necessidade</x:v>
      </x:c>
      <x:c r="F3" s="32" t="str"/>
      <x:c r="G3" s="58" t="str">
        <x:v>Tipo</x:v>
      </x:c>
      <x:c r="H3" s="32" t="str">
        <x:v>Base</x:v>
      </x:c>
    </x:row>
    <x:row r="4">
      <x:c r="A4" s="58" t="str">
        <x:v>Propósito</x:v>
      </x:c>
      <x:c r="B4" s="32" t="str">
        <x:v>Identificar usuário, cliente, paciente e influenciadores</x:v>
      </x:c>
      <x:c r="C4" s="32" t="str"/>
      <x:c r="D4" s="58" t="str">
        <x:v>Quando usar</x:v>
      </x:c>
      <x:c r="E4" s="32" t="str">
        <x:v>Conforme pacote inteligente / Mapa_Selecao</x:v>
      </x:c>
      <x:c r="F4" s="32" t="str"/>
      <x:c r="G4" s="58" t="str">
        <x:v>Observações</x:v>
      </x:c>
      <x:c r="H4" s="32" t="str">
        <x:v>Não substitui projeto detalhado; registra hipóteses, alertas e incertezas.</x:v>
      </x:c>
    </x:row>
    <x:row r="5">
      <x:c r="A5" s="58" t="str">
        <x:v>Produto</x:v>
      </x:c>
      <x:c r="B5" s="32" t="str">
        <x:f>IF(Dashboard!B4="","",Dashboard!B4)</x:f>
      </x:c>
      <x:c r="C5" s="32" t="str"/>
      <x:c r="D5" s="58" t="str">
        <x:v>Responsável</x:v>
      </x:c>
      <x:c r="E5" s="32" t="str">
        <x:f>IF(Dashboard!B6="","",Dashboard!B6)</x:f>
      </x:c>
      <x:c r="F5" s="32" t="str"/>
      <x:c r="G5" s="58" t="str">
        <x:v>Status</x:v>
      </x:c>
      <x:c r="H5" s="32" t="str"/>
    </x:row>
    <x:row r="6">
      <x:c r="A6" s="61" t="e">
        <x:f>HYPERLINK("#'Dashboard'!A1","← Dashboard")</x:f>
      </x:c>
      <x:c r="B6" s="61" t="e">
        <x:f>HYPERLINK("#'Indice'!A1","Índice")</x:f>
      </x:c>
      <x:c r="C6" s="61" t="e">
        <x:f>HYPERLINK("#'Mapa_Selecao'!A1","Mapa de seleção")</x:f>
      </x:c>
    </x:row>
    <x:row r="8">
      <x:c r="A8" s="66" t="str">
        <x:v>Mapa de stakeholders</x:v>
      </x:c>
      <x:c r="B8" s="66"/>
      <x:c r="C8" s="66"/>
      <x:c r="D8" s="66"/>
      <x:c r="E8" s="66"/>
      <x:c r="F8" s="66"/>
      <x:c r="G8" s="66"/>
    </x:row>
    <x:row r="9">
      <x:c r="A9" s="20" t="str">
        <x:v>Stakeholder</x:v>
      </x:c>
      <x:c r="B9" s="20" t="str">
        <x:v>Papel no ciclo</x:v>
      </x:c>
      <x:c r="C9" s="20" t="str">
        <x:v>Necessidade / interesse</x:v>
      </x:c>
      <x:c r="D9" s="20" t="str">
        <x:v>Influência</x:v>
      </x:c>
      <x:c r="E9" s="20" t="str">
        <x:v>Impacto</x:v>
      </x:c>
      <x:c r="F9" s="20" t="str">
        <x:v>Como consultar</x:v>
      </x:c>
      <x:c r="G9" s="20" t="str">
        <x:v>Observação</x:v>
      </x:c>
    </x:row>
    <x:row r="10">
      <x:c r="A10" s="37" t="str"/>
      <x:c r="B10" s="37" t="str"/>
      <x:c r="C10" s="37" t="str"/>
      <x:c r="D10" s="37" t="str"/>
      <x:c r="E10" s="37" t="str"/>
      <x:c r="F10" s="37" t="str"/>
      <x:c r="G10" s="37" t="str"/>
    </x:row>
    <x:row r="11">
      <x:c r="A11" s="37" t="str"/>
      <x:c r="B11" s="37" t="str"/>
      <x:c r="C11" s="37" t="str"/>
      <x:c r="D11" s="37" t="str"/>
      <x:c r="E11" s="37" t="str"/>
      <x:c r="F11" s="37" t="str"/>
      <x:c r="G11" s="37" t="str"/>
    </x:row>
    <x:row r="12">
      <x:c r="A12" s="37" t="str"/>
      <x:c r="B12" s="37" t="str"/>
      <x:c r="C12" s="37" t="str"/>
      <x:c r="D12" s="37" t="str"/>
      <x:c r="E12" s="37" t="str"/>
      <x:c r="F12" s="37" t="str"/>
      <x:c r="G12" s="37" t="str"/>
    </x:row>
    <x:row r="13">
      <x:c r="A13" s="37" t="str"/>
      <x:c r="B13" s="37" t="str"/>
      <x:c r="C13" s="37" t="str"/>
      <x:c r="D13" s="37" t="str"/>
      <x:c r="E13" s="37" t="str"/>
      <x:c r="F13" s="37" t="str"/>
      <x:c r="G13" s="37" t="str"/>
    </x:row>
    <x:row r="14">
      <x:c r="A14" s="37" t="str"/>
      <x:c r="B14" s="37" t="str"/>
      <x:c r="C14" s="37" t="str"/>
      <x:c r="D14" s="37" t="str"/>
      <x:c r="E14" s="37" t="str"/>
      <x:c r="F14" s="37" t="str"/>
      <x:c r="G14" s="37" t="str"/>
    </x:row>
    <x:row r="15">
      <x:c r="A15" s="37" t="str"/>
      <x:c r="B15" s="37" t="str"/>
      <x:c r="C15" s="37" t="str"/>
      <x:c r="D15" s="37" t="str"/>
      <x:c r="E15" s="37" t="str"/>
      <x:c r="F15" s="37" t="str"/>
      <x:c r="G15" s="37" t="str"/>
    </x:row>
    <x:row r="16">
      <x:c r="A16" s="37" t="str"/>
      <x:c r="B16" s="37" t="str"/>
      <x:c r="C16" s="37" t="str"/>
      <x:c r="D16" s="37" t="str"/>
      <x:c r="E16" s="37" t="str"/>
      <x:c r="F16" s="37" t="str"/>
      <x:c r="G16" s="37" t="str"/>
    </x:row>
    <x:row r="17">
      <x:c r="A17" s="37" t="str"/>
      <x:c r="B17" s="37" t="str"/>
      <x:c r="C17" s="37" t="str"/>
      <x:c r="D17" s="37" t="str"/>
      <x:c r="E17" s="37" t="str"/>
      <x:c r="F17" s="37" t="str"/>
      <x:c r="G17" s="37" t="str"/>
    </x:row>
    <x:row r="18">
      <x:c r="A18" s="37" t="str"/>
      <x:c r="B18" s="37" t="str"/>
      <x:c r="C18" s="37" t="str"/>
      <x:c r="D18" s="37" t="str"/>
      <x:c r="E18" s="37" t="str"/>
      <x:c r="F18" s="37" t="str"/>
      <x:c r="G18" s="37" t="str"/>
    </x:row>
    <x:row r="19">
      <x:c r="A19" s="37" t="str"/>
      <x:c r="B19" s="37" t="str"/>
      <x:c r="C19" s="37" t="str"/>
      <x:c r="D19" s="37" t="str"/>
      <x:c r="E19" s="37" t="str"/>
      <x:c r="F19" s="37" t="str"/>
      <x:c r="G19" s="37" t="str"/>
    </x:row>
    <x:row r="20">
      <x:c r="A20" s="37" t="str"/>
      <x:c r="B20" s="37" t="str"/>
      <x:c r="C20" s="37" t="str"/>
      <x:c r="D20" s="37" t="str"/>
      <x:c r="E20" s="37" t="str"/>
      <x:c r="F20" s="37" t="str"/>
      <x:c r="G20" s="37" t="str"/>
    </x:row>
    <x:row r="21">
      <x:c r="A21" s="37" t="str"/>
      <x:c r="B21" s="37" t="str"/>
      <x:c r="C21" s="37" t="str"/>
      <x:c r="D21" s="37" t="str"/>
      <x:c r="E21" s="37" t="str"/>
      <x:c r="F21" s="37" t="str"/>
      <x:c r="G21" s="37" t="str"/>
    </x:row>
  </x:sheetData>
  <x:mergeCells>
    <x:mergeCell ref="A1:H1"/>
    <x:mergeCell ref="A2:H2"/>
    <x:mergeCell ref="A8:G8"/>
  </x:mergeCells>
  <x:dataValidations count="2">
    <x:dataValidation type="list" sqref="H5">
      <x:formula1>"Não iniciado,Em preenchimento,Em revisão,Concluído"</x:formula1>
    </x:dataValidation>
    <x:dataValidation type="list" sqref="D10:E21">
      <x:formula1>"Baixo,Médio,Alto"</x:formula1>
    </x:dataValidation>
  </x:dataValidations>
  <x:pageMargins left="0.7" right="0.7" top="0.75" bottom="0.75" header="0.3" footer="0.3"/>
</x:worksheet>
</file>

<file path=xl/worksheets/sheet14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2" hidden="0" customWidth="1"/>
    <x:col min="3" max="3" width="48" hidden="0" customWidth="1"/>
    <x:col min="4" max="4" width="16" hidden="0" customWidth="1"/>
    <x:col min="5" max="5" width="14" hidden="0" customWidth="1"/>
    <x:col min="6" max="6" width="36" hidden="0" customWidth="1"/>
    <x:col min="7" max="7" width="40" hidden="0" customWidth="1"/>
    <x:col min="8" max="8" width="22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</x:cols>
  <x:sheetData>
    <x:row r="1">
      <x:c r="A1" s="4" t="str">
        <x:v>VOC inicial</x:v>
      </x:c>
      <x:c r="B1" s="4"/>
      <x:c r="C1" s="4"/>
      <x:c r="D1" s="4"/>
      <x:c r="E1" s="4"/>
      <x:c r="F1" s="4"/>
      <x:c r="G1" s="4"/>
      <x:c r="H1" s="4"/>
    </x:row>
    <x:row r="2">
      <x:c r="A2" s="11" t="str">
        <x:v>Ferramenta do ciclo de idealização até conceito aprovado. Preencha somente quando aplicável ao produto.</x:v>
      </x:c>
      <x:c r="B2" s="11"/>
      <x:c r="C2" s="11"/>
      <x:c r="D2" s="11"/>
      <x:c r="E2" s="11"/>
      <x:c r="F2" s="11"/>
      <x:c r="G2" s="11"/>
      <x:c r="H2" s="11"/>
    </x:row>
    <x:row r="3">
      <x:c r="A3" s="58" t="str">
        <x:v>Código</x:v>
      </x:c>
      <x:c r="B3" s="32" t="str">
        <x:v>G1_VOC</x:v>
      </x:c>
      <x:c r="C3" s="32" t="str"/>
      <x:c r="D3" s="58" t="str">
        <x:v>Gate</x:v>
      </x:c>
      <x:c r="E3" s="32" t="str">
        <x:v>Gate 1 — Oportunidade e Necessidade</x:v>
      </x:c>
      <x:c r="F3" s="32" t="str"/>
      <x:c r="G3" s="58" t="str">
        <x:v>Tipo</x:v>
      </x:c>
      <x:c r="H3" s="32" t="str">
        <x:v>Necessidade</x:v>
      </x:c>
    </x:row>
    <x:row r="4">
      <x:c r="A4" s="58" t="str">
        <x:v>Propósito</x:v>
      </x:c>
      <x:c r="B4" s="32" t="str">
        <x:v>Capturar percepção inicial do usuário ou cliente</x:v>
      </x:c>
      <x:c r="C4" s="32" t="str"/>
      <x:c r="D4" s="58" t="str">
        <x:v>Quando usar</x:v>
      </x:c>
      <x:c r="E4" s="32" t="str">
        <x:v>Conforme pacote inteligente / Mapa_Selecao</x:v>
      </x:c>
      <x:c r="F4" s="32" t="str"/>
      <x:c r="G4" s="58" t="str">
        <x:v>Observações</x:v>
      </x:c>
      <x:c r="H4" s="32" t="str">
        <x:v>Não substitui projeto detalhado; registra hipóteses, alertas e incertezas.</x:v>
      </x:c>
    </x:row>
    <x:row r="5">
      <x:c r="A5" s="58" t="str">
        <x:v>Produto</x:v>
      </x:c>
      <x:c r="B5" s="32" t="str">
        <x:f>IF(Dashboard!B4="","",Dashboard!B4)</x:f>
      </x:c>
      <x:c r="C5" s="32" t="str"/>
      <x:c r="D5" s="58" t="str">
        <x:v>Responsável</x:v>
      </x:c>
      <x:c r="E5" s="32" t="str">
        <x:f>IF(Dashboard!B6="","",Dashboard!B6)</x:f>
      </x:c>
      <x:c r="F5" s="32" t="str"/>
      <x:c r="G5" s="58" t="str">
        <x:v>Status</x:v>
      </x:c>
      <x:c r="H5" s="32" t="str"/>
    </x:row>
    <x:row r="6">
      <x:c r="A6" s="61" t="e">
        <x:f>HYPERLINK("#'Dashboard'!A1","← Dashboard")</x:f>
      </x:c>
      <x:c r="B6" s="61" t="e">
        <x:f>HYPERLINK("#'Indice'!A1","Índice")</x:f>
      </x:c>
      <x:c r="C6" s="61" t="e">
        <x:f>HYPERLINK("#'Mapa_Selecao'!A1","Mapa de seleção")</x:f>
      </x:c>
    </x:row>
    <x:row r="8">
      <x:c r="A8" s="66" t="str">
        <x:v>VOC — Voz do Cliente</x:v>
      </x:c>
      <x:c r="B8" s="66"/>
      <x:c r="C8" s="66"/>
      <x:c r="D8" s="66"/>
      <x:c r="E8" s="66"/>
      <x:c r="F8" s="66"/>
      <x:c r="G8" s="66"/>
    </x:row>
    <x:row r="9">
      <x:c r="A9" s="20" t="str">
        <x:v>Fonte</x:v>
      </x:c>
      <x:c r="B9" s="20" t="str">
        <x:v>Perfil</x:v>
      </x:c>
      <x:c r="C9" s="20" t="str">
        <x:v>Necessidade / fala do usuário</x:v>
      </x:c>
      <x:c r="D9" s="20" t="str">
        <x:v>Importância (1-5)</x:v>
      </x:c>
      <x:c r="E9" s="20" t="str">
        <x:v>Frequência</x:v>
      </x:c>
      <x:c r="F9" s="20" t="str">
        <x:v>Evidência</x:v>
      </x:c>
      <x:c r="G9" s="20" t="str">
        <x:v>Necessidade traduzida</x:v>
      </x:c>
    </x:row>
    <x:row r="10">
      <x:c r="A10" s="37" t="str"/>
      <x:c r="B10" s="37" t="str"/>
      <x:c r="C10" s="37" t="str"/>
      <x:c r="D10" s="37" t="str"/>
      <x:c r="E10" s="37" t="str"/>
      <x:c r="F10" s="37" t="str"/>
      <x:c r="G10" s="37" t="str"/>
    </x:row>
    <x:row r="11">
      <x:c r="A11" s="37" t="str"/>
      <x:c r="B11" s="37" t="str"/>
      <x:c r="C11" s="37" t="str"/>
      <x:c r="D11" s="37" t="str"/>
      <x:c r="E11" s="37" t="str"/>
      <x:c r="F11" s="37" t="str"/>
      <x:c r="G11" s="37" t="str"/>
    </x:row>
    <x:row r="12">
      <x:c r="A12" s="37" t="str"/>
      <x:c r="B12" s="37" t="str"/>
      <x:c r="C12" s="37" t="str"/>
      <x:c r="D12" s="37" t="str"/>
      <x:c r="E12" s="37" t="str"/>
      <x:c r="F12" s="37" t="str"/>
      <x:c r="G12" s="37" t="str"/>
    </x:row>
    <x:row r="13">
      <x:c r="A13" s="37" t="str"/>
      <x:c r="B13" s="37" t="str"/>
      <x:c r="C13" s="37" t="str"/>
      <x:c r="D13" s="37" t="str"/>
      <x:c r="E13" s="37" t="str"/>
      <x:c r="F13" s="37" t="str"/>
      <x:c r="G13" s="37" t="str"/>
    </x:row>
    <x:row r="14">
      <x:c r="A14" s="37" t="str"/>
      <x:c r="B14" s="37" t="str"/>
      <x:c r="C14" s="37" t="str"/>
      <x:c r="D14" s="37" t="str"/>
      <x:c r="E14" s="37" t="str"/>
      <x:c r="F14" s="37" t="str"/>
      <x:c r="G14" s="37" t="str"/>
    </x:row>
    <x:row r="15">
      <x:c r="A15" s="37" t="str"/>
      <x:c r="B15" s="37" t="str"/>
      <x:c r="C15" s="37" t="str"/>
      <x:c r="D15" s="37" t="str"/>
      <x:c r="E15" s="37" t="str"/>
      <x:c r="F15" s="37" t="str"/>
      <x:c r="G15" s="37" t="str"/>
    </x:row>
    <x:row r="16">
      <x:c r="A16" s="37" t="str"/>
      <x:c r="B16" s="37" t="str"/>
      <x:c r="C16" s="37" t="str"/>
      <x:c r="D16" s="37" t="str"/>
      <x:c r="E16" s="37" t="str"/>
      <x:c r="F16" s="37" t="str"/>
      <x:c r="G16" s="37" t="str"/>
    </x:row>
    <x:row r="17">
      <x:c r="A17" s="37" t="str"/>
      <x:c r="B17" s="37" t="str"/>
      <x:c r="C17" s="37" t="str"/>
      <x:c r="D17" s="37" t="str"/>
      <x:c r="E17" s="37" t="str"/>
      <x:c r="F17" s="37" t="str"/>
      <x:c r="G17" s="37" t="str"/>
    </x:row>
    <x:row r="18">
      <x:c r="A18" s="37" t="str"/>
      <x:c r="B18" s="37" t="str"/>
      <x:c r="C18" s="37" t="str"/>
      <x:c r="D18" s="37" t="str"/>
      <x:c r="E18" s="37" t="str"/>
      <x:c r="F18" s="37" t="str"/>
      <x:c r="G18" s="37" t="str"/>
    </x:row>
    <x:row r="19">
      <x:c r="A19" s="37" t="str"/>
      <x:c r="B19" s="37" t="str"/>
      <x:c r="C19" s="37" t="str"/>
      <x:c r="D19" s="37" t="str"/>
      <x:c r="E19" s="37" t="str"/>
      <x:c r="F19" s="37" t="str"/>
      <x:c r="G19" s="37" t="str"/>
    </x:row>
    <x:row r="20">
      <x:c r="A20" s="37" t="str"/>
      <x:c r="B20" s="37" t="str"/>
      <x:c r="C20" s="37" t="str"/>
      <x:c r="D20" s="37" t="str"/>
      <x:c r="E20" s="37" t="str"/>
      <x:c r="F20" s="37" t="str"/>
      <x:c r="G20" s="37" t="str"/>
    </x:row>
    <x:row r="21">
      <x:c r="A21" s="37" t="str"/>
      <x:c r="B21" s="37" t="str"/>
      <x:c r="C21" s="37" t="str"/>
      <x:c r="D21" s="37" t="str"/>
      <x:c r="E21" s="37" t="str"/>
      <x:c r="F21" s="37" t="str"/>
      <x:c r="G21" s="37" t="str"/>
    </x:row>
    <x:row r="22">
      <x:c r="A22" s="37" t="str"/>
      <x:c r="B22" s="37" t="str"/>
      <x:c r="C22" s="37" t="str"/>
      <x:c r="D22" s="37" t="str"/>
      <x:c r="E22" s="37" t="str"/>
      <x:c r="F22" s="37" t="str"/>
      <x:c r="G22" s="37" t="str"/>
    </x:row>
    <x:row r="23">
      <x:c r="A23" s="37" t="str"/>
      <x:c r="B23" s="37" t="str"/>
      <x:c r="C23" s="37" t="str"/>
      <x:c r="D23" s="37" t="str"/>
      <x:c r="E23" s="37" t="str"/>
      <x:c r="F23" s="37" t="str"/>
      <x:c r="G23" s="37" t="str"/>
    </x:row>
    <x:row r="24">
      <x:c r="A24" s="37" t="str"/>
      <x:c r="B24" s="37" t="str"/>
      <x:c r="C24" s="37" t="str"/>
      <x:c r="D24" s="37" t="str"/>
      <x:c r="E24" s="37" t="str"/>
      <x:c r="F24" s="37" t="str"/>
      <x:c r="G24" s="37" t="str"/>
    </x:row>
    <x:row r="25">
      <x:c r="A25" s="37" t="str"/>
      <x:c r="B25" s="37" t="str"/>
      <x:c r="C25" s="37" t="str"/>
      <x:c r="D25" s="37" t="str"/>
      <x:c r="E25" s="37" t="str"/>
      <x:c r="F25" s="37" t="str"/>
      <x:c r="G25" s="37" t="str"/>
    </x:row>
    <x:row r="26">
      <x:c r="A26" s="37" t="str"/>
      <x:c r="B26" s="37" t="str"/>
      <x:c r="C26" s="37" t="str"/>
      <x:c r="D26" s="37" t="str"/>
      <x:c r="E26" s="37" t="str"/>
      <x:c r="F26" s="37" t="str"/>
      <x:c r="G26" s="37" t="str"/>
    </x:row>
    <x:row r="27">
      <x:c r="A27" s="37" t="str"/>
      <x:c r="B27" s="37" t="str"/>
      <x:c r="C27" s="37" t="str"/>
      <x:c r="D27" s="37" t="str"/>
      <x:c r="E27" s="37" t="str"/>
      <x:c r="F27" s="37" t="str"/>
      <x:c r="G27" s="37" t="str"/>
    </x:row>
  </x:sheetData>
  <x:mergeCells>
    <x:mergeCell ref="A1:H1"/>
    <x:mergeCell ref="A2:H2"/>
    <x:mergeCell ref="A8:G8"/>
  </x:mergeCells>
  <x:dataValidations count="3">
    <x:dataValidation type="list" sqref="H5">
      <x:formula1>"Não iniciado,Em preenchimento,Em revisão,Concluído"</x:formula1>
    </x:dataValidation>
    <x:dataValidation type="list" sqref="D10:D27">
      <x:formula1>"1,2,3,4,5"</x:formula1>
    </x:dataValidation>
    <x:dataValidation type="list" sqref="E10:E27">
      <x:formula1>"Baixa,Média,Alta"</x:formula1>
    </x:dataValidation>
  </x:dataValidations>
  <x:pageMargins left="0.7" right="0.7" top="0.75" bottom="0.75" header="0.3" footer="0.3"/>
</x:worksheet>
</file>

<file path=xl/worksheets/sheet15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2" hidden="0" customWidth="1"/>
    <x:col min="3" max="3" width="36" hidden="0" customWidth="1"/>
    <x:col min="4" max="4" width="48" hidden="0" customWidth="1"/>
    <x:col min="5" max="5" width="40" hidden="0" customWidth="1"/>
    <x:col min="6" max="6" width="30" hidden="0" customWidth="1"/>
    <x:col min="7" max="7" width="14" hidden="0" customWidth="1"/>
    <x:col min="8" max="8" width="22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</x:cols>
  <x:sheetData>
    <x:row r="1">
      <x:c r="A1" s="4" t="str">
        <x:v>Entrevistas com usuários/KOL</x:v>
      </x:c>
      <x:c r="B1" s="4"/>
      <x:c r="C1" s="4"/>
      <x:c r="D1" s="4"/>
      <x:c r="E1" s="4"/>
      <x:c r="F1" s="4"/>
      <x:c r="G1" s="4"/>
      <x:c r="H1" s="4"/>
    </x:row>
    <x:row r="2">
      <x:c r="A2" s="11" t="str">
        <x:v>Ferramenta do ciclo de idealização até conceito aprovado. Preencha somente quando aplicável ao produto.</x:v>
      </x:c>
      <x:c r="B2" s="11"/>
      <x:c r="C2" s="11"/>
      <x:c r="D2" s="11"/>
      <x:c r="E2" s="11"/>
      <x:c r="F2" s="11"/>
      <x:c r="G2" s="11"/>
      <x:c r="H2" s="11"/>
    </x:row>
    <x:row r="3">
      <x:c r="A3" s="58" t="str">
        <x:v>Código</x:v>
      </x:c>
      <x:c r="B3" s="32" t="str">
        <x:v>G1_KOL</x:v>
      </x:c>
      <x:c r="C3" s="32" t="str"/>
      <x:c r="D3" s="58" t="str">
        <x:v>Gate</x:v>
      </x:c>
      <x:c r="E3" s="32" t="str">
        <x:v>Gate 1 — Oportunidade e Necessidade</x:v>
      </x:c>
      <x:c r="F3" s="32" t="str"/>
      <x:c r="G3" s="58" t="str">
        <x:v>Tipo</x:v>
      </x:c>
      <x:c r="H3" s="32" t="str">
        <x:v>Necessidade</x:v>
      </x:c>
    </x:row>
    <x:row r="4">
      <x:c r="A4" s="58" t="str">
        <x:v>Propósito</x:v>
      </x:c>
      <x:c r="B4" s="32" t="str">
        <x:v>Validar dor clínica, técnica ou comercial</x:v>
      </x:c>
      <x:c r="C4" s="32" t="str"/>
      <x:c r="D4" s="58" t="str">
        <x:v>Quando usar</x:v>
      </x:c>
      <x:c r="E4" s="32" t="str">
        <x:v>Conforme pacote inteligente / Mapa_Selecao</x:v>
      </x:c>
      <x:c r="F4" s="32" t="str"/>
      <x:c r="G4" s="58" t="str">
        <x:v>Observações</x:v>
      </x:c>
      <x:c r="H4" s="32" t="str">
        <x:v>Não substitui projeto detalhado; registra hipóteses, alertas e incertezas.</x:v>
      </x:c>
    </x:row>
    <x:row r="5">
      <x:c r="A5" s="58" t="str">
        <x:v>Produto</x:v>
      </x:c>
      <x:c r="B5" s="32" t="str">
        <x:f>IF(Dashboard!B4="","",Dashboard!B4)</x:f>
      </x:c>
      <x:c r="C5" s="32" t="str"/>
      <x:c r="D5" s="58" t="str">
        <x:v>Responsável</x:v>
      </x:c>
      <x:c r="E5" s="32" t="str">
        <x:f>IF(Dashboard!B6="","",Dashboard!B6)</x:f>
      </x:c>
      <x:c r="F5" s="32" t="str"/>
      <x:c r="G5" s="58" t="str">
        <x:v>Status</x:v>
      </x:c>
      <x:c r="H5" s="32" t="str"/>
    </x:row>
    <x:row r="6">
      <x:c r="A6" s="61" t="e">
        <x:f>HYPERLINK("#'Dashboard'!A1","← Dashboard")</x:f>
      </x:c>
      <x:c r="B6" s="61" t="e">
        <x:f>HYPERLINK("#'Indice'!A1","Índice")</x:f>
      </x:c>
      <x:c r="C6" s="61" t="e">
        <x:f>HYPERLINK("#'Mapa_Selecao'!A1","Mapa de seleção")</x:f>
      </x:c>
    </x:row>
    <x:row r="8">
      <x:c r="A8" s="66" t="str">
        <x:v>Roteiro e síntese de entrevistas</x:v>
      </x:c>
      <x:c r="B8" s="66"/>
      <x:c r="C8" s="66"/>
      <x:c r="D8" s="66"/>
      <x:c r="E8" s="66"/>
      <x:c r="F8" s="66"/>
      <x:c r="G8" s="66"/>
    </x:row>
    <x:row r="9">
      <x:c r="A9" s="20" t="str">
        <x:v>Entrevistado</x:v>
      </x:c>
      <x:c r="B9" s="20" t="str">
        <x:v>Perfil</x:v>
      </x:c>
      <x:c r="C9" s="20" t="str">
        <x:v>Pergunta</x:v>
      </x:c>
      <x:c r="D9" s="20" t="str">
        <x:v>Resposta / insight</x:v>
      </x:c>
      <x:c r="E9" s="20" t="str">
        <x:v>Necessidade identificada</x:v>
      </x:c>
      <x:c r="F9" s="20" t="str">
        <x:v>Evidência</x:v>
      </x:c>
      <x:c r="G9" s="20" t="str">
        <x:v>Prioridade</x:v>
      </x:c>
    </x:row>
    <x:row r="10">
      <x:c r="A10" s="37" t="str"/>
      <x:c r="B10" s="37" t="str"/>
      <x:c r="C10" s="37" t="str"/>
      <x:c r="D10" s="37" t="str"/>
      <x:c r="E10" s="37" t="str"/>
      <x:c r="F10" s="37" t="str"/>
      <x:c r="G10" s="37" t="str"/>
    </x:row>
    <x:row r="11">
      <x:c r="A11" s="37" t="str"/>
      <x:c r="B11" s="37" t="str"/>
      <x:c r="C11" s="37" t="str"/>
      <x:c r="D11" s="37" t="str"/>
      <x:c r="E11" s="37" t="str"/>
      <x:c r="F11" s="37" t="str"/>
      <x:c r="G11" s="37" t="str"/>
    </x:row>
    <x:row r="12">
      <x:c r="A12" s="37" t="str"/>
      <x:c r="B12" s="37" t="str"/>
      <x:c r="C12" s="37" t="str"/>
      <x:c r="D12" s="37" t="str"/>
      <x:c r="E12" s="37" t="str"/>
      <x:c r="F12" s="37" t="str"/>
      <x:c r="G12" s="37" t="str"/>
    </x:row>
    <x:row r="13">
      <x:c r="A13" s="37" t="str"/>
      <x:c r="B13" s="37" t="str"/>
      <x:c r="C13" s="37" t="str"/>
      <x:c r="D13" s="37" t="str"/>
      <x:c r="E13" s="37" t="str"/>
      <x:c r="F13" s="37" t="str"/>
      <x:c r="G13" s="37" t="str"/>
    </x:row>
    <x:row r="14">
      <x:c r="A14" s="37" t="str"/>
      <x:c r="B14" s="37" t="str"/>
      <x:c r="C14" s="37" t="str"/>
      <x:c r="D14" s="37" t="str"/>
      <x:c r="E14" s="37" t="str"/>
      <x:c r="F14" s="37" t="str"/>
      <x:c r="G14" s="37" t="str"/>
    </x:row>
    <x:row r="15">
      <x:c r="A15" s="37" t="str"/>
      <x:c r="B15" s="37" t="str"/>
      <x:c r="C15" s="37" t="str"/>
      <x:c r="D15" s="37" t="str"/>
      <x:c r="E15" s="37" t="str"/>
      <x:c r="F15" s="37" t="str"/>
      <x:c r="G15" s="37" t="str"/>
    </x:row>
    <x:row r="16">
      <x:c r="A16" s="37" t="str"/>
      <x:c r="B16" s="37" t="str"/>
      <x:c r="C16" s="37" t="str"/>
      <x:c r="D16" s="37" t="str"/>
      <x:c r="E16" s="37" t="str"/>
      <x:c r="F16" s="37" t="str"/>
      <x:c r="G16" s="37" t="str"/>
    </x:row>
    <x:row r="17">
      <x:c r="A17" s="37" t="str"/>
      <x:c r="B17" s="37" t="str"/>
      <x:c r="C17" s="37" t="str"/>
      <x:c r="D17" s="37" t="str"/>
      <x:c r="E17" s="37" t="str"/>
      <x:c r="F17" s="37" t="str"/>
      <x:c r="G17" s="37" t="str"/>
    </x:row>
    <x:row r="18">
      <x:c r="A18" s="37" t="str"/>
      <x:c r="B18" s="37" t="str"/>
      <x:c r="C18" s="37" t="str"/>
      <x:c r="D18" s="37" t="str"/>
      <x:c r="E18" s="37" t="str"/>
      <x:c r="F18" s="37" t="str"/>
      <x:c r="G18" s="37" t="str"/>
    </x:row>
    <x:row r="19">
      <x:c r="A19" s="37" t="str"/>
      <x:c r="B19" s="37" t="str"/>
      <x:c r="C19" s="37" t="str"/>
      <x:c r="D19" s="37" t="str"/>
      <x:c r="E19" s="37" t="str"/>
      <x:c r="F19" s="37" t="str"/>
      <x:c r="G19" s="37" t="str"/>
    </x:row>
    <x:row r="20">
      <x:c r="A20" s="37" t="str"/>
      <x:c r="B20" s="37" t="str"/>
      <x:c r="C20" s="37" t="str"/>
      <x:c r="D20" s="37" t="str"/>
      <x:c r="E20" s="37" t="str"/>
      <x:c r="F20" s="37" t="str"/>
      <x:c r="G20" s="37" t="str"/>
    </x:row>
    <x:row r="21">
      <x:c r="A21" s="37" t="str"/>
      <x:c r="B21" s="37" t="str"/>
      <x:c r="C21" s="37" t="str"/>
      <x:c r="D21" s="37" t="str"/>
      <x:c r="E21" s="37" t="str"/>
      <x:c r="F21" s="37" t="str"/>
      <x:c r="G21" s="37" t="str"/>
    </x:row>
    <x:row r="22">
      <x:c r="A22" s="37" t="str"/>
      <x:c r="B22" s="37" t="str"/>
      <x:c r="C22" s="37" t="str"/>
      <x:c r="D22" s="37" t="str"/>
      <x:c r="E22" s="37" t="str"/>
      <x:c r="F22" s="37" t="str"/>
      <x:c r="G22" s="37" t="str"/>
    </x:row>
    <x:row r="23">
      <x:c r="A23" s="37" t="str"/>
      <x:c r="B23" s="37" t="str"/>
      <x:c r="C23" s="37" t="str"/>
      <x:c r="D23" s="37" t="str"/>
      <x:c r="E23" s="37" t="str"/>
      <x:c r="F23" s="37" t="str"/>
      <x:c r="G23" s="37" t="str"/>
    </x:row>
    <x:row r="24">
      <x:c r="A24" s="37" t="str"/>
      <x:c r="B24" s="37" t="str"/>
      <x:c r="C24" s="37" t="str"/>
      <x:c r="D24" s="37" t="str"/>
      <x:c r="E24" s="37" t="str"/>
      <x:c r="F24" s="37" t="str"/>
      <x:c r="G24" s="37" t="str"/>
    </x:row>
    <x:row r="25">
      <x:c r="A25" s="37" t="str"/>
      <x:c r="B25" s="37" t="str"/>
      <x:c r="C25" s="37" t="str"/>
      <x:c r="D25" s="37" t="str"/>
      <x:c r="E25" s="37" t="str"/>
      <x:c r="F25" s="37" t="str"/>
      <x:c r="G25" s="37" t="str"/>
    </x:row>
  </x:sheetData>
  <x:mergeCells>
    <x:mergeCell ref="A1:H1"/>
    <x:mergeCell ref="A2:H2"/>
    <x:mergeCell ref="A8:G8"/>
  </x:mergeCells>
  <x:dataValidations count="2">
    <x:dataValidation type="list" sqref="H5">
      <x:formula1>"Não iniciado,Em preenchimento,Em revisão,Concluído"</x:formula1>
    </x:dataValidation>
    <x:dataValidation type="list" sqref="G10:G25">
      <x:formula1>"Baixa,Média,Alta"</x:formula1>
    </x:dataValidation>
  </x:dataValidations>
  <x:pageMargins left="0.7" right="0.7" top="0.75" bottom="0.75" header="0.3" footer="0.3"/>
</x:worksheet>
</file>

<file path=xl/worksheets/sheet16.xml><?xml version="1.0" encoding="utf-8"?>
<x:worksheet xmlns:x="http://schemas.openxmlformats.org/spreadsheetml/2006/main">
  <x:sheetFormatPr defaultRowHeight="15"/>
  <x:cols>
    <x:col min="1" max="1" width="26" hidden="0" customWidth="1"/>
    <x:col min="2" max="2" width="42" hidden="0" customWidth="1"/>
    <x:col min="3" max="3" width="42" hidden="0" customWidth="1"/>
    <x:col min="4" max="4" width="30" hidden="0" customWidth="1"/>
    <x:col min="5" max="5" width="42" hidden="0" customWidth="1"/>
    <x:col min="6" max="6" width="14" hidden="0" customWidth="1"/>
    <x:col min="7" max="7" width="32" hidden="0" customWidth="1"/>
    <x:col min="8" max="8" width="22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</x:cols>
  <x:sheetData>
    <x:row r="1">
      <x:c r="A1" s="4" t="str">
        <x:v>Observação em campo</x:v>
      </x:c>
      <x:c r="B1" s="4"/>
      <x:c r="C1" s="4"/>
      <x:c r="D1" s="4"/>
      <x:c r="E1" s="4"/>
      <x:c r="F1" s="4"/>
      <x:c r="G1" s="4"/>
      <x:c r="H1" s="4"/>
    </x:row>
    <x:row r="2">
      <x:c r="A2" s="11" t="str">
        <x:v>Ferramenta do ciclo de idealização até conceito aprovado. Preencha somente quando aplicável ao produto.</x:v>
      </x:c>
      <x:c r="B2" s="11"/>
      <x:c r="C2" s="11"/>
      <x:c r="D2" s="11"/>
      <x:c r="E2" s="11"/>
      <x:c r="F2" s="11"/>
      <x:c r="G2" s="11"/>
      <x:c r="H2" s="11"/>
    </x:row>
    <x:row r="3">
      <x:c r="A3" s="58" t="str">
        <x:v>Código</x:v>
      </x:c>
      <x:c r="B3" s="32" t="str">
        <x:v>G1_CAMPO</x:v>
      </x:c>
      <x:c r="C3" s="32" t="str"/>
      <x:c r="D3" s="58" t="str">
        <x:v>Gate</x:v>
      </x:c>
      <x:c r="E3" s="32" t="str">
        <x:v>Gate 1 — Oportunidade e Necessidade</x:v>
      </x:c>
      <x:c r="F3" s="32" t="str"/>
      <x:c r="G3" s="58" t="str">
        <x:v>Tipo</x:v>
      </x:c>
      <x:c r="H3" s="32" t="str">
        <x:v>Necessidade</x:v>
      </x:c>
    </x:row>
    <x:row r="4">
      <x:c r="A4" s="58" t="str">
        <x:v>Propósito</x:v>
      </x:c>
      <x:c r="B4" s="32" t="str">
        <x:v>Entender o uso real e contexto prático</x:v>
      </x:c>
      <x:c r="C4" s="32" t="str"/>
      <x:c r="D4" s="58" t="str">
        <x:v>Quando usar</x:v>
      </x:c>
      <x:c r="E4" s="32" t="str">
        <x:v>Conforme pacote inteligente / Mapa_Selecao</x:v>
      </x:c>
      <x:c r="F4" s="32" t="str"/>
      <x:c r="G4" s="58" t="str">
        <x:v>Observações</x:v>
      </x:c>
      <x:c r="H4" s="32" t="str">
        <x:v>Não substitui projeto detalhado; registra hipóteses, alertas e incertezas.</x:v>
      </x:c>
    </x:row>
    <x:row r="5">
      <x:c r="A5" s="58" t="str">
        <x:v>Produto</x:v>
      </x:c>
      <x:c r="B5" s="32" t="str">
        <x:f>IF(Dashboard!B4="","",Dashboard!B4)</x:f>
      </x:c>
      <x:c r="C5" s="32" t="str"/>
      <x:c r="D5" s="58" t="str">
        <x:v>Responsável</x:v>
      </x:c>
      <x:c r="E5" s="32" t="str">
        <x:f>IF(Dashboard!B6="","",Dashboard!B6)</x:f>
      </x:c>
      <x:c r="F5" s="32" t="str"/>
      <x:c r="G5" s="58" t="str">
        <x:v>Status</x:v>
      </x:c>
      <x:c r="H5" s="32" t="str"/>
    </x:row>
    <x:row r="6">
      <x:c r="A6" s="61" t="e">
        <x:f>HYPERLINK("#'Dashboard'!A1","← Dashboard")</x:f>
      </x:c>
      <x:c r="B6" s="61" t="e">
        <x:f>HYPERLINK("#'Indice'!A1","Índice")</x:f>
      </x:c>
      <x:c r="C6" s="61" t="e">
        <x:f>HYPERLINK("#'Mapa_Selecao'!A1","Mapa de seleção")</x:f>
      </x:c>
    </x:row>
    <x:row r="8">
      <x:c r="A8" s="66" t="str">
        <x:v>Observação em campo</x:v>
      </x:c>
      <x:c r="B8" s="66"/>
      <x:c r="C8" s="66"/>
      <x:c r="D8" s="66"/>
      <x:c r="E8" s="66"/>
      <x:c r="F8" s="66"/>
      <x:c r="G8" s="66"/>
    </x:row>
    <x:row r="9">
      <x:c r="A9" s="20" t="str">
        <x:v>Etapa observada</x:v>
      </x:c>
      <x:c r="B9" s="20" t="str">
        <x:v>O que acontece na prática</x:v>
      </x:c>
      <x:c r="C9" s="20" t="str">
        <x:v>Dificuldade / improviso</x:v>
      </x:c>
      <x:c r="D9" s="20" t="str">
        <x:v>Evidência</x:v>
      </x:c>
      <x:c r="E9" s="20" t="str">
        <x:v>Oportunidade</x:v>
      </x:c>
      <x:c r="F9" s="20" t="str">
        <x:v>Impacto</x:v>
      </x:c>
      <x:c r="G9" s="20" t="str">
        <x:v>Observação</x:v>
      </x:c>
    </x:row>
    <x:row r="10">
      <x:c r="A10" s="37" t="str"/>
      <x:c r="B10" s="37" t="str"/>
      <x:c r="C10" s="37" t="str"/>
      <x:c r="D10" s="37" t="str"/>
      <x:c r="E10" s="37" t="str"/>
      <x:c r="F10" s="37" t="str"/>
      <x:c r="G10" s="37" t="str"/>
    </x:row>
    <x:row r="11">
      <x:c r="A11" s="37" t="str"/>
      <x:c r="B11" s="37" t="str"/>
      <x:c r="C11" s="37" t="str"/>
      <x:c r="D11" s="37" t="str"/>
      <x:c r="E11" s="37" t="str"/>
      <x:c r="F11" s="37" t="str"/>
      <x:c r="G11" s="37" t="str"/>
    </x:row>
    <x:row r="12">
      <x:c r="A12" s="37" t="str"/>
      <x:c r="B12" s="37" t="str"/>
      <x:c r="C12" s="37" t="str"/>
      <x:c r="D12" s="37" t="str"/>
      <x:c r="E12" s="37" t="str"/>
      <x:c r="F12" s="37" t="str"/>
      <x:c r="G12" s="37" t="str"/>
    </x:row>
    <x:row r="13">
      <x:c r="A13" s="37" t="str"/>
      <x:c r="B13" s="37" t="str"/>
      <x:c r="C13" s="37" t="str"/>
      <x:c r="D13" s="37" t="str"/>
      <x:c r="E13" s="37" t="str"/>
      <x:c r="F13" s="37" t="str"/>
      <x:c r="G13" s="37" t="str"/>
    </x:row>
    <x:row r="14">
      <x:c r="A14" s="37" t="str"/>
      <x:c r="B14" s="37" t="str"/>
      <x:c r="C14" s="37" t="str"/>
      <x:c r="D14" s="37" t="str"/>
      <x:c r="E14" s="37" t="str"/>
      <x:c r="F14" s="37" t="str"/>
      <x:c r="G14" s="37" t="str"/>
    </x:row>
    <x:row r="15">
      <x:c r="A15" s="37" t="str"/>
      <x:c r="B15" s="37" t="str"/>
      <x:c r="C15" s="37" t="str"/>
      <x:c r="D15" s="37" t="str"/>
      <x:c r="E15" s="37" t="str"/>
      <x:c r="F15" s="37" t="str"/>
      <x:c r="G15" s="37" t="str"/>
    </x:row>
    <x:row r="16">
      <x:c r="A16" s="37" t="str"/>
      <x:c r="B16" s="37" t="str"/>
      <x:c r="C16" s="37" t="str"/>
      <x:c r="D16" s="37" t="str"/>
      <x:c r="E16" s="37" t="str"/>
      <x:c r="F16" s="37" t="str"/>
      <x:c r="G16" s="37" t="str"/>
    </x:row>
    <x:row r="17">
      <x:c r="A17" s="37" t="str"/>
      <x:c r="B17" s="37" t="str"/>
      <x:c r="C17" s="37" t="str"/>
      <x:c r="D17" s="37" t="str"/>
      <x:c r="E17" s="37" t="str"/>
      <x:c r="F17" s="37" t="str"/>
      <x:c r="G17" s="37" t="str"/>
    </x:row>
    <x:row r="18">
      <x:c r="A18" s="37" t="str"/>
      <x:c r="B18" s="37" t="str"/>
      <x:c r="C18" s="37" t="str"/>
      <x:c r="D18" s="37" t="str"/>
      <x:c r="E18" s="37" t="str"/>
      <x:c r="F18" s="37" t="str"/>
      <x:c r="G18" s="37" t="str"/>
    </x:row>
    <x:row r="19">
      <x:c r="A19" s="37" t="str"/>
      <x:c r="B19" s="37" t="str"/>
      <x:c r="C19" s="37" t="str"/>
      <x:c r="D19" s="37" t="str"/>
      <x:c r="E19" s="37" t="str"/>
      <x:c r="F19" s="37" t="str"/>
      <x:c r="G19" s="37" t="str"/>
    </x:row>
    <x:row r="20">
      <x:c r="A20" s="37" t="str"/>
      <x:c r="B20" s="37" t="str"/>
      <x:c r="C20" s="37" t="str"/>
      <x:c r="D20" s="37" t="str"/>
      <x:c r="E20" s="37" t="str"/>
      <x:c r="F20" s="37" t="str"/>
      <x:c r="G20" s="37" t="str"/>
    </x:row>
    <x:row r="21">
      <x:c r="A21" s="37" t="str"/>
      <x:c r="B21" s="37" t="str"/>
      <x:c r="C21" s="37" t="str"/>
      <x:c r="D21" s="37" t="str"/>
      <x:c r="E21" s="37" t="str"/>
      <x:c r="F21" s="37" t="str"/>
      <x:c r="G21" s="37" t="str"/>
    </x:row>
    <x:row r="22">
      <x:c r="A22" s="37" t="str"/>
      <x:c r="B22" s="37" t="str"/>
      <x:c r="C22" s="37" t="str"/>
      <x:c r="D22" s="37" t="str"/>
      <x:c r="E22" s="37" t="str"/>
      <x:c r="F22" s="37" t="str"/>
      <x:c r="G22" s="37" t="str"/>
    </x:row>
    <x:row r="23">
      <x:c r="A23" s="37" t="str"/>
      <x:c r="B23" s="37" t="str"/>
      <x:c r="C23" s="37" t="str"/>
      <x:c r="D23" s="37" t="str"/>
      <x:c r="E23" s="37" t="str"/>
      <x:c r="F23" s="37" t="str"/>
      <x:c r="G23" s="37" t="str"/>
    </x:row>
    <x:row r="24">
      <x:c r="A24" s="37" t="str"/>
      <x:c r="B24" s="37" t="str"/>
      <x:c r="C24" s="37" t="str"/>
      <x:c r="D24" s="37" t="str"/>
      <x:c r="E24" s="37" t="str"/>
      <x:c r="F24" s="37" t="str"/>
      <x:c r="G24" s="37" t="str"/>
    </x:row>
    <x:row r="25">
      <x:c r="A25" s="37" t="str"/>
      <x:c r="B25" s="37" t="str"/>
      <x:c r="C25" s="37" t="str"/>
      <x:c r="D25" s="37" t="str"/>
      <x:c r="E25" s="37" t="str"/>
      <x:c r="F25" s="37" t="str"/>
      <x:c r="G25" s="37" t="str"/>
    </x:row>
  </x:sheetData>
  <x:mergeCells>
    <x:mergeCell ref="A1:H1"/>
    <x:mergeCell ref="A2:H2"/>
    <x:mergeCell ref="A8:G8"/>
  </x:mergeCells>
  <x:dataValidations count="2">
    <x:dataValidation type="list" sqref="H5">
      <x:formula1>"Não iniciado,Em preenchimento,Em revisão,Concluído"</x:formula1>
    </x:dataValidation>
    <x:dataValidation type="list" sqref="F10:F25">
      <x:formula1>"Baixo,Médio,Alto"</x:formula1>
    </x:dataValidation>
  </x:dataValidations>
  <x:pageMargins left="0.7" right="0.7" top="0.75" bottom="0.75" header="0.3" footer="0.3"/>
</x:worksheet>
</file>

<file path=xl/worksheets/sheet17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38" hidden="0" customWidth="1"/>
    <x:col min="3" max="3" width="38" hidden="0" customWidth="1"/>
    <x:col min="4" max="4" width="38" hidden="0" customWidth="1"/>
    <x:col min="5" max="5" width="14" hidden="0" customWidth="1"/>
    <x:col min="6" max="6" width="42" hidden="0" customWidth="1"/>
    <x:col min="7" max="7" width="22" hidden="0" customWidth="1"/>
    <x:col min="8" max="8" width="22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</x:cols>
  <x:sheetData>
    <x:row r="1">
      <x:c r="A1" s="4" t="str">
        <x:v>Gap Analysis</x:v>
      </x:c>
      <x:c r="B1" s="4"/>
      <x:c r="C1" s="4"/>
      <x:c r="D1" s="4"/>
      <x:c r="E1" s="4"/>
      <x:c r="F1" s="4"/>
      <x:c r="G1" s="4"/>
      <x:c r="H1" s="4"/>
    </x:row>
    <x:row r="2">
      <x:c r="A2" s="11" t="str">
        <x:v>Ferramenta do ciclo de idealização até conceito aprovado. Preencha somente quando aplicável ao produto.</x:v>
      </x:c>
      <x:c r="B2" s="11"/>
      <x:c r="C2" s="11"/>
      <x:c r="D2" s="11"/>
      <x:c r="E2" s="11"/>
      <x:c r="F2" s="11"/>
      <x:c r="G2" s="11"/>
      <x:c r="H2" s="11"/>
    </x:row>
    <x:row r="3">
      <x:c r="A3" s="58" t="str">
        <x:v>Código</x:v>
      </x:c>
      <x:c r="B3" s="32" t="str">
        <x:v>G1_GAP</x:v>
      </x:c>
      <x:c r="C3" s="32" t="str"/>
      <x:c r="D3" s="58" t="str">
        <x:v>Gate</x:v>
      </x:c>
      <x:c r="E3" s="32" t="str">
        <x:v>Gate 1 — Oportunidade e Necessidade</x:v>
      </x:c>
      <x:c r="F3" s="32" t="str"/>
      <x:c r="G3" s="58" t="str">
        <x:v>Tipo</x:v>
      </x:c>
      <x:c r="H3" s="32" t="str">
        <x:v>Oportunidade</x:v>
      </x:c>
    </x:row>
    <x:row r="4">
      <x:c r="A4" s="58" t="str">
        <x:v>Propósito</x:v>
      </x:c>
      <x:c r="B4" s="32" t="str">
        <x:v>Comparar situação atual e situação desejada</x:v>
      </x:c>
      <x:c r="C4" s="32" t="str"/>
      <x:c r="D4" s="58" t="str">
        <x:v>Quando usar</x:v>
      </x:c>
      <x:c r="E4" s="32" t="str">
        <x:v>Conforme pacote inteligente / Mapa_Selecao</x:v>
      </x:c>
      <x:c r="F4" s="32" t="str"/>
      <x:c r="G4" s="58" t="str">
        <x:v>Observações</x:v>
      </x:c>
      <x:c r="H4" s="32" t="str">
        <x:v>Não substitui projeto detalhado; registra hipóteses, alertas e incertezas.</x:v>
      </x:c>
    </x:row>
    <x:row r="5">
      <x:c r="A5" s="58" t="str">
        <x:v>Produto</x:v>
      </x:c>
      <x:c r="B5" s="32" t="str">
        <x:f>IF(Dashboard!B4="","",Dashboard!B4)</x:f>
      </x:c>
      <x:c r="C5" s="32" t="str"/>
      <x:c r="D5" s="58" t="str">
        <x:v>Responsável</x:v>
      </x:c>
      <x:c r="E5" s="32" t="str">
        <x:f>IF(Dashboard!B6="","",Dashboard!B6)</x:f>
      </x:c>
      <x:c r="F5" s="32" t="str"/>
      <x:c r="G5" s="58" t="str">
        <x:v>Status</x:v>
      </x:c>
      <x:c r="H5" s="32" t="str"/>
    </x:row>
    <x:row r="6">
      <x:c r="A6" s="61" t="e">
        <x:f>HYPERLINK("#'Dashboard'!A1","← Dashboard")</x:f>
      </x:c>
      <x:c r="B6" s="61" t="e">
        <x:f>HYPERLINK("#'Indice'!A1","Índice")</x:f>
      </x:c>
      <x:c r="C6" s="61" t="e">
        <x:f>HYPERLINK("#'Mapa_Selecao'!A1","Mapa de seleção")</x:f>
      </x:c>
    </x:row>
    <x:row r="8">
      <x:c r="A8" s="66" t="str">
        <x:v>Gap Analysis</x:v>
      </x:c>
      <x:c r="B8" s="66"/>
      <x:c r="C8" s="66"/>
      <x:c r="D8" s="66"/>
      <x:c r="E8" s="66"/>
      <x:c r="F8" s="66"/>
    </x:row>
    <x:row r="9">
      <x:c r="A9" s="20" t="str">
        <x:v>Aspecto</x:v>
      </x:c>
      <x:c r="B9" s="20" t="str">
        <x:v>Situação atual</x:v>
      </x:c>
      <x:c r="C9" s="20" t="str">
        <x:v>Situação desejada</x:v>
      </x:c>
      <x:c r="D9" s="20" t="str">
        <x:v>Gap identificado</x:v>
      </x:c>
      <x:c r="E9" s="20" t="str">
        <x:v>Impacto</x:v>
      </x:c>
      <x:c r="F9" s="20" t="str">
        <x:v>Ação conceitual possível</x:v>
      </x:c>
    </x:row>
    <x:row r="10">
      <x:c r="A10" s="37" t="str"/>
      <x:c r="B10" s="37" t="str"/>
      <x:c r="C10" s="37" t="str"/>
      <x:c r="D10" s="37" t="str"/>
      <x:c r="E10" s="37" t="str"/>
      <x:c r="F10" s="37" t="str"/>
    </x:row>
    <x:row r="11">
      <x:c r="A11" s="37" t="str"/>
      <x:c r="B11" s="37" t="str"/>
      <x:c r="C11" s="37" t="str"/>
      <x:c r="D11" s="37" t="str"/>
      <x:c r="E11" s="37" t="str"/>
      <x:c r="F11" s="37" t="str"/>
    </x:row>
    <x:row r="12">
      <x:c r="A12" s="37" t="str"/>
      <x:c r="B12" s="37" t="str"/>
      <x:c r="C12" s="37" t="str"/>
      <x:c r="D12" s="37" t="str"/>
      <x:c r="E12" s="37" t="str"/>
      <x:c r="F12" s="37" t="str"/>
    </x:row>
    <x:row r="13">
      <x:c r="A13" s="37" t="str"/>
      <x:c r="B13" s="37" t="str"/>
      <x:c r="C13" s="37" t="str"/>
      <x:c r="D13" s="37" t="str"/>
      <x:c r="E13" s="37" t="str"/>
      <x:c r="F13" s="37" t="str"/>
    </x:row>
    <x:row r="14">
      <x:c r="A14" s="37" t="str"/>
      <x:c r="B14" s="37" t="str"/>
      <x:c r="C14" s="37" t="str"/>
      <x:c r="D14" s="37" t="str"/>
      <x:c r="E14" s="37" t="str"/>
      <x:c r="F14" s="37" t="str"/>
    </x:row>
    <x:row r="15">
      <x:c r="A15" s="37" t="str"/>
      <x:c r="B15" s="37" t="str"/>
      <x:c r="C15" s="37" t="str"/>
      <x:c r="D15" s="37" t="str"/>
      <x:c r="E15" s="37" t="str"/>
      <x:c r="F15" s="37" t="str"/>
    </x:row>
    <x:row r="16">
      <x:c r="A16" s="37" t="str"/>
      <x:c r="B16" s="37" t="str"/>
      <x:c r="C16" s="37" t="str"/>
      <x:c r="D16" s="37" t="str"/>
      <x:c r="E16" s="37" t="str"/>
      <x:c r="F16" s="37" t="str"/>
    </x:row>
    <x:row r="17">
      <x:c r="A17" s="37" t="str"/>
      <x:c r="B17" s="37" t="str"/>
      <x:c r="C17" s="37" t="str"/>
      <x:c r="D17" s="37" t="str"/>
      <x:c r="E17" s="37" t="str"/>
      <x:c r="F17" s="37" t="str"/>
    </x:row>
    <x:row r="18">
      <x:c r="A18" s="37" t="str"/>
      <x:c r="B18" s="37" t="str"/>
      <x:c r="C18" s="37" t="str"/>
      <x:c r="D18" s="37" t="str"/>
      <x:c r="E18" s="37" t="str"/>
      <x:c r="F18" s="37" t="str"/>
    </x:row>
    <x:row r="19">
      <x:c r="A19" s="37" t="str"/>
      <x:c r="B19" s="37" t="str"/>
      <x:c r="C19" s="37" t="str"/>
      <x:c r="D19" s="37" t="str"/>
      <x:c r="E19" s="37" t="str"/>
      <x:c r="F19" s="37" t="str"/>
    </x:row>
    <x:row r="20">
      <x:c r="A20" s="37" t="str"/>
      <x:c r="B20" s="37" t="str"/>
      <x:c r="C20" s="37" t="str"/>
      <x:c r="D20" s="37" t="str"/>
      <x:c r="E20" s="37" t="str"/>
      <x:c r="F20" s="37" t="str"/>
    </x:row>
    <x:row r="21">
      <x:c r="A21" s="37" t="str"/>
      <x:c r="B21" s="37" t="str"/>
      <x:c r="C21" s="37" t="str"/>
      <x:c r="D21" s="37" t="str"/>
      <x:c r="E21" s="37" t="str"/>
      <x:c r="F21" s="37" t="str"/>
    </x:row>
  </x:sheetData>
  <x:mergeCells>
    <x:mergeCell ref="A1:H1"/>
    <x:mergeCell ref="A2:H2"/>
    <x:mergeCell ref="A8:F8"/>
  </x:mergeCells>
  <x:dataValidations count="2">
    <x:dataValidation type="list" sqref="H5">
      <x:formula1>"Não iniciado,Em preenchimento,Em revisão,Concluído"</x:formula1>
    </x:dataValidation>
    <x:dataValidation type="list" sqref="E10:E21">
      <x:formula1>"Baixo,Médio,Alto"</x:formula1>
    </x:dataValidation>
  </x:dataValidations>
  <x:pageMargins left="0.7" right="0.7" top="0.75" bottom="0.75" header="0.3" footer="0.3"/>
</x:worksheet>
</file>

<file path=xl/worksheets/sheet18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26" hidden="0" customWidth="1"/>
    <x:col min="3" max="3" width="22" hidden="0" customWidth="1"/>
    <x:col min="4" max="4" width="42" hidden="0" customWidth="1"/>
    <x:col min="5" max="5" width="36" hidden="0" customWidth="1"/>
    <x:col min="6" max="6" width="36" hidden="0" customWidth="1"/>
    <x:col min="7" max="7" width="18" hidden="0" customWidth="1"/>
    <x:col min="8" max="8" width="42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</x:cols>
  <x:sheetData>
    <x:row r="1">
      <x:c r="A1" s="4" t="str">
        <x:v>Benchmarking preliminar</x:v>
      </x:c>
      <x:c r="B1" s="4"/>
      <x:c r="C1" s="4"/>
      <x:c r="D1" s="4"/>
      <x:c r="E1" s="4"/>
      <x:c r="F1" s="4"/>
      <x:c r="G1" s="4"/>
      <x:c r="H1" s="4"/>
    </x:row>
    <x:row r="2">
      <x:c r="A2" s="11" t="str">
        <x:v>Ferramenta do ciclo de idealização até conceito aprovado. Preencha somente quando aplicável ao produto.</x:v>
      </x:c>
      <x:c r="B2" s="11"/>
      <x:c r="C2" s="11"/>
      <x:c r="D2" s="11"/>
      <x:c r="E2" s="11"/>
      <x:c r="F2" s="11"/>
      <x:c r="G2" s="11"/>
      <x:c r="H2" s="11"/>
    </x:row>
    <x:row r="3">
      <x:c r="A3" s="58" t="str">
        <x:v>Código</x:v>
      </x:c>
      <x:c r="B3" s="32" t="str">
        <x:v>G1_BENCH</x:v>
      </x:c>
      <x:c r="C3" s="32" t="str"/>
      <x:c r="D3" s="58" t="str">
        <x:v>Gate</x:v>
      </x:c>
      <x:c r="E3" s="32" t="str">
        <x:v>Gate 1 — Oportunidade e Necessidade</x:v>
      </x:c>
      <x:c r="F3" s="32" t="str"/>
      <x:c r="G3" s="58" t="str">
        <x:v>Tipo</x:v>
      </x:c>
      <x:c r="H3" s="32" t="str">
        <x:v>Mercado</x:v>
      </x:c>
    </x:row>
    <x:row r="4">
      <x:c r="A4" s="58" t="str">
        <x:v>Propósito</x:v>
      </x:c>
      <x:c r="B4" s="32" t="str">
        <x:v>Ver soluções existentes ou similares</x:v>
      </x:c>
      <x:c r="C4" s="32" t="str"/>
      <x:c r="D4" s="58" t="str">
        <x:v>Quando usar</x:v>
      </x:c>
      <x:c r="E4" s="32" t="str">
        <x:v>Conforme pacote inteligente / Mapa_Selecao</x:v>
      </x:c>
      <x:c r="F4" s="32" t="str"/>
      <x:c r="G4" s="58" t="str">
        <x:v>Observações</x:v>
      </x:c>
      <x:c r="H4" s="32" t="str">
        <x:v>Não substitui projeto detalhado; registra hipóteses, alertas e incertezas.</x:v>
      </x:c>
    </x:row>
    <x:row r="5">
      <x:c r="A5" s="58" t="str">
        <x:v>Produto</x:v>
      </x:c>
      <x:c r="B5" s="32" t="str">
        <x:f>IF(Dashboard!B4="","",Dashboard!B4)</x:f>
      </x:c>
      <x:c r="C5" s="32" t="str"/>
      <x:c r="D5" s="58" t="str">
        <x:v>Responsável</x:v>
      </x:c>
      <x:c r="E5" s="32" t="str">
        <x:f>IF(Dashboard!B6="","",Dashboard!B6)</x:f>
      </x:c>
      <x:c r="F5" s="32" t="str"/>
      <x:c r="G5" s="58" t="str">
        <x:v>Status</x:v>
      </x:c>
      <x:c r="H5" s="32" t="str"/>
    </x:row>
    <x:row r="6">
      <x:c r="A6" s="61" t="e">
        <x:f>HYPERLINK("#'Dashboard'!A1","← Dashboard")</x:f>
      </x:c>
      <x:c r="B6" s="61" t="e">
        <x:f>HYPERLINK("#'Indice'!A1","Índice")</x:f>
      </x:c>
      <x:c r="C6" s="61" t="e">
        <x:f>HYPERLINK("#'Mapa_Selecao'!A1","Mapa de seleção")</x:f>
      </x:c>
    </x:row>
    <x:row r="8">
      <x:c r="A8" s="66" t="str">
        <x:v>Benchmarking / busca de mercado</x:v>
      </x:c>
      <x:c r="B8" s="66"/>
      <x:c r="C8" s="66"/>
      <x:c r="D8" s="66"/>
      <x:c r="E8" s="66"/>
      <x:c r="F8" s="66"/>
      <x:c r="G8" s="66"/>
      <x:c r="H8" s="66"/>
    </x:row>
    <x:row r="9">
      <x:c r="A9" s="20" t="str">
        <x:v>Produto / solução</x:v>
      </x:c>
      <x:c r="B9" s="20" t="str">
        <x:v>Fornecedor / empresa</x:v>
      </x:c>
      <x:c r="C9" s="20" t="str">
        <x:v>Classe / registro</x:v>
      </x:c>
      <x:c r="D9" s="20" t="str">
        <x:v>Características</x:v>
      </x:c>
      <x:c r="E9" s="20" t="str">
        <x:v>Diferenciais</x:v>
      </x:c>
      <x:c r="F9" s="20" t="str">
        <x:v>Limitações</x:v>
      </x:c>
      <x:c r="G9" s="20" t="str">
        <x:v>Preço estimado</x:v>
      </x:c>
      <x:c r="H9" s="20" t="str">
        <x:v>Fonte / link</x:v>
      </x:c>
    </x:row>
    <x:row r="10">
      <x:c r="A10" s="37" t="str"/>
      <x:c r="B10" s="37" t="str"/>
      <x:c r="C10" s="37" t="str"/>
      <x:c r="D10" s="37" t="str"/>
      <x:c r="E10" s="37" t="str"/>
      <x:c r="F10" s="37" t="str"/>
      <x:c r="G10" s="37" t="str"/>
      <x:c r="H10" s="37" t="str"/>
    </x:row>
    <x:row r="11">
      <x:c r="A11" s="37" t="str"/>
      <x:c r="B11" s="37" t="str"/>
      <x:c r="C11" s="37" t="str"/>
      <x:c r="D11" s="37" t="str"/>
      <x:c r="E11" s="37" t="str"/>
      <x:c r="F11" s="37" t="str"/>
      <x:c r="G11" s="37" t="str"/>
      <x:c r="H11" s="37" t="str"/>
    </x:row>
    <x:row r="12">
      <x:c r="A12" s="37" t="str"/>
      <x:c r="B12" s="37" t="str"/>
      <x:c r="C12" s="37" t="str"/>
      <x:c r="D12" s="37" t="str"/>
      <x:c r="E12" s="37" t="str"/>
      <x:c r="F12" s="37" t="str"/>
      <x:c r="G12" s="37" t="str"/>
      <x:c r="H12" s="37" t="str"/>
    </x:row>
    <x:row r="13">
      <x:c r="A13" s="37" t="str"/>
      <x:c r="B13" s="37" t="str"/>
      <x:c r="C13" s="37" t="str"/>
      <x:c r="D13" s="37" t="str"/>
      <x:c r="E13" s="37" t="str"/>
      <x:c r="F13" s="37" t="str"/>
      <x:c r="G13" s="37" t="str"/>
      <x:c r="H13" s="37" t="str"/>
    </x:row>
    <x:row r="14">
      <x:c r="A14" s="37" t="str"/>
      <x:c r="B14" s="37" t="str"/>
      <x:c r="C14" s="37" t="str"/>
      <x:c r="D14" s="37" t="str"/>
      <x:c r="E14" s="37" t="str"/>
      <x:c r="F14" s="37" t="str"/>
      <x:c r="G14" s="37" t="str"/>
      <x:c r="H14" s="37" t="str"/>
    </x:row>
    <x:row r="15">
      <x:c r="A15" s="37" t="str"/>
      <x:c r="B15" s="37" t="str"/>
      <x:c r="C15" s="37" t="str"/>
      <x:c r="D15" s="37" t="str"/>
      <x:c r="E15" s="37" t="str"/>
      <x:c r="F15" s="37" t="str"/>
      <x:c r="G15" s="37" t="str"/>
      <x:c r="H15" s="37" t="str"/>
    </x:row>
    <x:row r="16">
      <x:c r="A16" s="37" t="str"/>
      <x:c r="B16" s="37" t="str"/>
      <x:c r="C16" s="37" t="str"/>
      <x:c r="D16" s="37" t="str"/>
      <x:c r="E16" s="37" t="str"/>
      <x:c r="F16" s="37" t="str"/>
      <x:c r="G16" s="37" t="str"/>
      <x:c r="H16" s="37" t="str"/>
    </x:row>
    <x:row r="17">
      <x:c r="A17" s="37" t="str"/>
      <x:c r="B17" s="37" t="str"/>
      <x:c r="C17" s="37" t="str"/>
      <x:c r="D17" s="37" t="str"/>
      <x:c r="E17" s="37" t="str"/>
      <x:c r="F17" s="37" t="str"/>
      <x:c r="G17" s="37" t="str"/>
      <x:c r="H17" s="37" t="str"/>
    </x:row>
    <x:row r="18">
      <x:c r="A18" s="37" t="str"/>
      <x:c r="B18" s="37" t="str"/>
      <x:c r="C18" s="37" t="str"/>
      <x:c r="D18" s="37" t="str"/>
      <x:c r="E18" s="37" t="str"/>
      <x:c r="F18" s="37" t="str"/>
      <x:c r="G18" s="37" t="str"/>
      <x:c r="H18" s="37" t="str"/>
    </x:row>
    <x:row r="19">
      <x:c r="A19" s="37" t="str"/>
      <x:c r="B19" s="37" t="str"/>
      <x:c r="C19" s="37" t="str"/>
      <x:c r="D19" s="37" t="str"/>
      <x:c r="E19" s="37" t="str"/>
      <x:c r="F19" s="37" t="str"/>
      <x:c r="G19" s="37" t="str"/>
      <x:c r="H19" s="37" t="str"/>
    </x:row>
    <x:row r="20">
      <x:c r="A20" s="37" t="str"/>
      <x:c r="B20" s="37" t="str"/>
      <x:c r="C20" s="37" t="str"/>
      <x:c r="D20" s="37" t="str"/>
      <x:c r="E20" s="37" t="str"/>
      <x:c r="F20" s="37" t="str"/>
      <x:c r="G20" s="37" t="str"/>
      <x:c r="H20" s="37" t="str"/>
    </x:row>
    <x:row r="21">
      <x:c r="A21" s="37" t="str"/>
      <x:c r="B21" s="37" t="str"/>
      <x:c r="C21" s="37" t="str"/>
      <x:c r="D21" s="37" t="str"/>
      <x:c r="E21" s="37" t="str"/>
      <x:c r="F21" s="37" t="str"/>
      <x:c r="G21" s="37" t="str"/>
      <x:c r="H21" s="37" t="str"/>
    </x:row>
    <x:row r="22">
      <x:c r="A22" s="37" t="str"/>
      <x:c r="B22" s="37" t="str"/>
      <x:c r="C22" s="37" t="str"/>
      <x:c r="D22" s="37" t="str"/>
      <x:c r="E22" s="37" t="str"/>
      <x:c r="F22" s="37" t="str"/>
      <x:c r="G22" s="37" t="str"/>
      <x:c r="H22" s="37" t="str"/>
    </x:row>
    <x:row r="23">
      <x:c r="A23" s="37" t="str"/>
      <x:c r="B23" s="37" t="str"/>
      <x:c r="C23" s="37" t="str"/>
      <x:c r="D23" s="37" t="str"/>
      <x:c r="E23" s="37" t="str"/>
      <x:c r="F23" s="37" t="str"/>
      <x:c r="G23" s="37" t="str"/>
      <x:c r="H23" s="37" t="str"/>
    </x:row>
    <x:row r="24">
      <x:c r="A24" s="37" t="str"/>
      <x:c r="B24" s="37" t="str"/>
      <x:c r="C24" s="37" t="str"/>
      <x:c r="D24" s="37" t="str"/>
      <x:c r="E24" s="37" t="str"/>
      <x:c r="F24" s="37" t="str"/>
      <x:c r="G24" s="37" t="str"/>
      <x:c r="H24" s="37" t="str"/>
    </x:row>
  </x:sheetData>
  <x:mergeCells>
    <x:mergeCell ref="A1:H1"/>
    <x:mergeCell ref="A2:H2"/>
    <x:mergeCell ref="A8:H8"/>
  </x:mergeCells>
  <x:dataValidations count="1">
    <x:dataValidation type="list" sqref="H5">
      <x:formula1>"Não iniciado,Em preenchimento,Em revisão,Concluído"</x:formula1>
    </x:dataValidation>
  </x:dataValidations>
  <x:pageMargins left="0.7" right="0.7" top="0.75" bottom="0.75" header="0.3" footer="0.3"/>
</x:worksheet>
</file>

<file path=xl/worksheets/sheet19.xml><?xml version="1.0" encoding="utf-8"?>
<x:worksheet xmlns:x="http://schemas.openxmlformats.org/spreadsheetml/2006/main">
  <x:sheetFormatPr defaultRowHeight="15"/>
  <x:cols>
    <x:col min="1" max="1" width="32" hidden="0" customWidth="1"/>
    <x:col min="2" max="2" width="80" hidden="0" customWidth="1"/>
    <x:col min="3" max="3" width="24" hidden="0" customWidth="1"/>
    <x:col min="4" max="4" width="18" hidden="0" customWidth="1"/>
    <x:col min="5" max="5" width="22" hidden="0" customWidth="1"/>
    <x:col min="6" max="6" width="22" hidden="0" customWidth="1"/>
    <x:col min="7" max="7" width="22" hidden="0" customWidth="1"/>
    <x:col min="8" max="8" width="22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</x:cols>
  <x:sheetData>
    <x:row r="1">
      <x:c r="A1" s="4" t="str">
        <x:v>Proposta de valor inicial</x:v>
      </x:c>
      <x:c r="B1" s="4"/>
      <x:c r="C1" s="4"/>
      <x:c r="D1" s="4"/>
      <x:c r="E1" s="4"/>
      <x:c r="F1" s="4"/>
      <x:c r="G1" s="4"/>
      <x:c r="H1" s="4"/>
    </x:row>
    <x:row r="2">
      <x:c r="A2" s="11" t="str">
        <x:v>Ferramenta do ciclo de idealização até conceito aprovado. Preencha somente quando aplicável ao produto.</x:v>
      </x:c>
      <x:c r="B2" s="11"/>
      <x:c r="C2" s="11"/>
      <x:c r="D2" s="11"/>
      <x:c r="E2" s="11"/>
      <x:c r="F2" s="11"/>
      <x:c r="G2" s="11"/>
      <x:c r="H2" s="11"/>
    </x:row>
    <x:row r="3">
      <x:c r="A3" s="58" t="str">
        <x:v>Código</x:v>
      </x:c>
      <x:c r="B3" s="32" t="str">
        <x:v>G1_VALOR</x:v>
      </x:c>
      <x:c r="C3" s="32" t="str"/>
      <x:c r="D3" s="58" t="str">
        <x:v>Gate</x:v>
      </x:c>
      <x:c r="E3" s="32" t="str">
        <x:v>Gate 1 — Oportunidade e Necessidade</x:v>
      </x:c>
      <x:c r="F3" s="32" t="str"/>
      <x:c r="G3" s="58" t="str">
        <x:v>Tipo</x:v>
      </x:c>
      <x:c r="H3" s="32" t="str">
        <x:v>Mercado</x:v>
      </x:c>
    </x:row>
    <x:row r="4">
      <x:c r="A4" s="58" t="str">
        <x:v>Propósito</x:v>
      </x:c>
      <x:c r="B4" s="32" t="str">
        <x:v>Definir benefício esperado da solução</x:v>
      </x:c>
      <x:c r="C4" s="32" t="str"/>
      <x:c r="D4" s="58" t="str">
        <x:v>Quando usar</x:v>
      </x:c>
      <x:c r="E4" s="32" t="str">
        <x:v>Conforme pacote inteligente / Mapa_Selecao</x:v>
      </x:c>
      <x:c r="F4" s="32" t="str"/>
      <x:c r="G4" s="58" t="str">
        <x:v>Observações</x:v>
      </x:c>
      <x:c r="H4" s="32" t="str">
        <x:v>Não substitui projeto detalhado; registra hipóteses, alertas e incertezas.</x:v>
      </x:c>
    </x:row>
    <x:row r="5">
      <x:c r="A5" s="58" t="str">
        <x:v>Produto</x:v>
      </x:c>
      <x:c r="B5" s="32" t="str">
        <x:f>IF(Dashboard!B4="","",Dashboard!B4)</x:f>
      </x:c>
      <x:c r="C5" s="32" t="str"/>
      <x:c r="D5" s="58" t="str">
        <x:v>Responsável</x:v>
      </x:c>
      <x:c r="E5" s="32" t="str">
        <x:f>IF(Dashboard!B6="","",Dashboard!B6)</x:f>
      </x:c>
      <x:c r="F5" s="32" t="str"/>
      <x:c r="G5" s="58" t="str">
        <x:v>Status</x:v>
      </x:c>
      <x:c r="H5" s="32" t="str"/>
    </x:row>
    <x:row r="6">
      <x:c r="A6" s="61" t="e">
        <x:f>HYPERLINK("#'Dashboard'!A1","← Dashboard")</x:f>
      </x:c>
      <x:c r="B6" s="61" t="e">
        <x:f>HYPERLINK("#'Indice'!A1","Índice")</x:f>
      </x:c>
      <x:c r="C6" s="61" t="e">
        <x:f>HYPERLINK("#'Mapa_Selecao'!A1","Mapa de seleção")</x:f>
      </x:c>
    </x:row>
    <x:row r="8">
      <x:c r="A8" s="66" t="str">
        <x:v>Proposta de valor inicial</x:v>
      </x:c>
      <x:c r="B8" s="66" t="str"/>
    </x:row>
    <x:row r="9">
      <x:c r="A9" s="20" t="str">
        <x:v>Elemento</x:v>
      </x:c>
      <x:c r="B9" s="20" t="str">
        <x:v>Descrição</x:v>
      </x:c>
    </x:row>
    <x:row r="10">
      <x:c r="A10" t="str">
        <x:v>Usuário/cliente</x:v>
      </x:c>
      <x:c r="B10" t="str"/>
    </x:row>
    <x:row r="11">
      <x:c r="A11" t="str">
        <x:v>Problema ou dor</x:v>
      </x:c>
      <x:c r="B11" t="str"/>
    </x:row>
    <x:row r="12">
      <x:c r="A12" t="str">
        <x:v>Solução conceitual proposta</x:v>
      </x:c>
      <x:c r="B12" t="str"/>
    </x:row>
    <x:row r="13">
      <x:c r="A13" t="str">
        <x:v>Benefício principal</x:v>
      </x:c>
      <x:c r="B13" t="str"/>
    </x:row>
    <x:row r="14">
      <x:c r="A14" t="str">
        <x:v>Diferencial frente ao padrão atual</x:v>
      </x:c>
      <x:c r="B14" t="str"/>
    </x:row>
    <x:row r="15">
      <x:c r="A15" t="str">
        <x:v>Evidência de valor</x:v>
      </x:c>
      <x:c r="B15" t="str"/>
    </x:row>
    <x:row r="16">
      <x:c r="A16" t="str">
        <x:v>Riscos/incertezas</x:v>
      </x:c>
      <x:c r="B16" t="str"/>
    </x:row>
  </x:sheetData>
  <x:mergeCells>
    <x:mergeCell ref="A1:H1"/>
    <x:mergeCell ref="A2:H2"/>
    <x:mergeCell ref="A8:B8"/>
  </x:mergeCells>
  <x:dataValidations count="1">
    <x:dataValidation type="list" sqref="H5">
      <x:formula1>"Não iniciado,Em preenchimento,Em revisão,Concluído"</x:formula1>
    </x:dataValidation>
  </x:dataValidations>
  <x:pageMargins left="0.7" right="0.7" top="0.75" bottom="0.75" header="0.3" footer="0.3"/>
</x:worksheet>
</file>

<file path=xl/worksheets/sheet20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42" hidden="0" customWidth="1"/>
    <x:col min="3" max="3" width="14" hidden="0" customWidth="1"/>
    <x:col min="4" max="4" width="42" hidden="0" customWidth="1"/>
    <x:col min="5" max="5" width="42" hidden="0" customWidth="1"/>
    <x:col min="6" max="6" width="22" hidden="0" customWidth="1"/>
    <x:col min="7" max="7" width="22" hidden="0" customWidth="1"/>
    <x:col min="8" max="8" width="22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</x:cols>
  <x:sheetData>
    <x:row r="1">
      <x:c r="A1" s="4" t="str">
        <x:v>Real, Vencível, Vale a pena</x:v>
      </x:c>
      <x:c r="B1" s="4"/>
      <x:c r="C1" s="4"/>
      <x:c r="D1" s="4"/>
      <x:c r="E1" s="4"/>
      <x:c r="F1" s="4"/>
      <x:c r="G1" s="4"/>
      <x:c r="H1" s="4"/>
    </x:row>
    <x:row r="2">
      <x:c r="A2" s="11" t="str">
        <x:v>Ferramenta do ciclo de idealização até conceito aprovado. Preencha somente quando aplicável ao produto.</x:v>
      </x:c>
      <x:c r="B2" s="11"/>
      <x:c r="C2" s="11"/>
      <x:c r="D2" s="11"/>
      <x:c r="E2" s="11"/>
      <x:c r="F2" s="11"/>
      <x:c r="G2" s="11"/>
      <x:c r="H2" s="11"/>
    </x:row>
    <x:row r="3">
      <x:c r="A3" s="58" t="str">
        <x:v>Código</x:v>
      </x:c>
      <x:c r="B3" s="32" t="str">
        <x:v>G1_RVV</x:v>
      </x:c>
      <x:c r="C3" s="32" t="str"/>
      <x:c r="D3" s="58" t="str">
        <x:v>Gate</x:v>
      </x:c>
      <x:c r="E3" s="32" t="str">
        <x:v>Gate 1 — Oportunidade e Necessidade</x:v>
      </x:c>
      <x:c r="F3" s="32" t="str"/>
      <x:c r="G3" s="58" t="str">
        <x:v>Tipo</x:v>
      </x:c>
      <x:c r="H3" s="32" t="str">
        <x:v>Decisão</x:v>
      </x:c>
    </x:row>
    <x:row r="4">
      <x:c r="A4" s="58" t="str">
        <x:v>Propósito</x:v>
      </x:c>
      <x:c r="B4" s="32" t="str">
        <x:v>Avaliar atratividade inicial da oportunidade</x:v>
      </x:c>
      <x:c r="C4" s="32" t="str"/>
      <x:c r="D4" s="58" t="str">
        <x:v>Quando usar</x:v>
      </x:c>
      <x:c r="E4" s="32" t="str">
        <x:v>Conforme pacote inteligente / Mapa_Selecao</x:v>
      </x:c>
      <x:c r="F4" s="32" t="str"/>
      <x:c r="G4" s="58" t="str">
        <x:v>Observações</x:v>
      </x:c>
      <x:c r="H4" s="32" t="str">
        <x:v>Não substitui projeto detalhado; registra hipóteses, alertas e incertezas.</x:v>
      </x:c>
    </x:row>
    <x:row r="5">
      <x:c r="A5" s="58" t="str">
        <x:v>Produto</x:v>
      </x:c>
      <x:c r="B5" s="32" t="str">
        <x:f>IF(Dashboard!B4="","",Dashboard!B4)</x:f>
      </x:c>
      <x:c r="C5" s="32" t="str"/>
      <x:c r="D5" s="58" t="str">
        <x:v>Responsável</x:v>
      </x:c>
      <x:c r="E5" s="32" t="str">
        <x:f>IF(Dashboard!B6="","",Dashboard!B6)</x:f>
      </x:c>
      <x:c r="F5" s="32" t="str"/>
      <x:c r="G5" s="58" t="str">
        <x:v>Status</x:v>
      </x:c>
      <x:c r="H5" s="32" t="str"/>
    </x:row>
    <x:row r="6">
      <x:c r="A6" s="61" t="e">
        <x:f>HYPERLINK("#'Dashboard'!A1","← Dashboard")</x:f>
      </x:c>
      <x:c r="B6" s="61" t="e">
        <x:f>HYPERLINK("#'Indice'!A1","Índice")</x:f>
      </x:c>
      <x:c r="C6" s="61" t="e">
        <x:f>HYPERLINK("#'Mapa_Selecao'!A1","Mapa de seleção")</x:f>
      </x:c>
    </x:row>
    <x:row r="8">
      <x:c r="A8" s="66" t="str">
        <x:v>Real, Vencível, Vale a pena</x:v>
      </x:c>
      <x:c r="B8" s="66" t="str"/>
      <x:c r="C8" s="66" t="str"/>
      <x:c r="D8" s="66" t="str"/>
      <x:c r="E8" s="66" t="str"/>
    </x:row>
    <x:row r="9">
      <x:c r="A9" s="20" t="str">
        <x:v>Dimensão</x:v>
      </x:c>
      <x:c r="B9" s="20" t="str">
        <x:v>Pergunta-chave</x:v>
      </x:c>
      <x:c r="C9" s="20" t="str">
        <x:v>Nota (0-5)</x:v>
      </x:c>
      <x:c r="D9" s="20" t="str">
        <x:v>Evidência</x:v>
      </x:c>
      <x:c r="E9" s="20" t="str">
        <x:v>Conclusão</x:v>
      </x:c>
    </x:row>
    <x:row r="10">
      <x:c r="A10" t="str">
        <x:v>Real</x:v>
      </x:c>
      <x:c r="B10" t="str">
        <x:v>Existe necessidade/mercado real?</x:v>
      </x:c>
      <x:c r="C10" t="str"/>
      <x:c r="D10" t="str"/>
      <x:c r="E10" t="str"/>
    </x:row>
    <x:row r="11">
      <x:c r="A11" t="str">
        <x:v>Vencível</x:v>
      </x:c>
      <x:c r="B11" t="str">
        <x:v>A empresa consegue competir ou viabilizar?</x:v>
      </x:c>
      <x:c r="C11" t="str"/>
      <x:c r="D11" t="str"/>
      <x:c r="E11" t="str"/>
    </x:row>
    <x:row r="12">
      <x:c r="A12" t="str">
        <x:v>Vale a pena</x:v>
      </x:c>
      <x:c r="B12" t="str">
        <x:v>O retorno esperado justifica investigar?</x:v>
      </x:c>
      <x:c r="C12" t="str"/>
      <x:c r="D12" t="str"/>
      <x:c r="E12" t="str"/>
    </x:row>
    <x:row r="14">
      <x:c r="B14" t="str">
        <x:v>Nota média</x:v>
      </x:c>
      <x:c r="C14" t="str">
        <x:f>IFERROR(AVERAGE(C10:C12),"")</x:f>
      </x:c>
    </x:row>
  </x:sheetData>
  <x:mergeCells>
    <x:mergeCell ref="A1:H1"/>
    <x:mergeCell ref="A2:H2"/>
    <x:mergeCell ref="A8:E8"/>
  </x:mergeCells>
  <x:dataValidations count="2">
    <x:dataValidation type="list" sqref="H5">
      <x:formula1>"Não iniciado,Em preenchimento,Em revisão,Concluído"</x:formula1>
    </x:dataValidation>
    <x:dataValidation type="list" sqref="C10:C12">
      <x:formula1>"0,1,2,3,4,5"</x:formula1>
    </x:dataValidation>
  </x:dataValidations>
  <x:pageMargins left="0.7" right="0.7" top="0.75" bottom="0.75" header="0.3" footer="0.3"/>
</x:worksheet>
</file>

<file path=xl/worksheets/sheet21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18" hidden="0" customWidth="1"/>
    <x:col min="3" max="3" width="14" hidden="0" customWidth="1"/>
    <x:col min="4" max="4" width="42" hidden="0" customWidth="1"/>
    <x:col min="5" max="5" width="18" hidden="0" customWidth="1"/>
    <x:col min="6" max="6" width="16" hidden="0" customWidth="1"/>
    <x:col min="7" max="7" width="18" hidden="0" customWidth="1"/>
    <x:col min="8" max="8" width="40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</x:cols>
  <x:sheetData>
    <x:row r="1">
      <x:c r="A1" s="4" t="str">
        <x:v>Mapa inicial de incertezas</x:v>
      </x:c>
      <x:c r="B1" s="4"/>
      <x:c r="C1" s="4"/>
      <x:c r="D1" s="4"/>
      <x:c r="E1" s="4"/>
      <x:c r="F1" s="4"/>
      <x:c r="G1" s="4"/>
      <x:c r="H1" s="4"/>
    </x:row>
    <x:row r="2">
      <x:c r="A2" s="11" t="str">
        <x:v>Ferramenta do ciclo de idealização até conceito aprovado. Preencha somente quando aplicável ao produto.</x:v>
      </x:c>
      <x:c r="B2" s="11"/>
      <x:c r="C2" s="11"/>
      <x:c r="D2" s="11"/>
      <x:c r="E2" s="11"/>
      <x:c r="F2" s="11"/>
      <x:c r="G2" s="11"/>
      <x:c r="H2" s="11"/>
    </x:row>
    <x:row r="3">
      <x:c r="A3" s="58" t="str">
        <x:v>Código</x:v>
      </x:c>
      <x:c r="B3" s="32" t="str">
        <x:v>G1_INCERT</x:v>
      </x:c>
      <x:c r="C3" s="32" t="str"/>
      <x:c r="D3" s="58" t="str">
        <x:v>Gate</x:v>
      </x:c>
      <x:c r="E3" s="32" t="str">
        <x:v>Gate 1 — Oportunidade e Necessidade</x:v>
      </x:c>
      <x:c r="F3" s="32" t="str"/>
      <x:c r="G3" s="58" t="str">
        <x:v>Tipo</x:v>
      </x:c>
      <x:c r="H3" s="32" t="str">
        <x:v>Incerteza</x:v>
      </x:c>
    </x:row>
    <x:row r="4">
      <x:c r="A4" s="58" t="str">
        <x:v>Propósito</x:v>
      </x:c>
      <x:c r="B4" s="32" t="str">
        <x:v>Registrar dúvidas sem bloquear a ideia</x:v>
      </x:c>
      <x:c r="C4" s="32" t="str"/>
      <x:c r="D4" s="58" t="str">
        <x:v>Quando usar</x:v>
      </x:c>
      <x:c r="E4" s="32" t="str">
        <x:v>Conforme pacote inteligente / Mapa_Selecao</x:v>
      </x:c>
      <x:c r="F4" s="32" t="str"/>
      <x:c r="G4" s="58" t="str">
        <x:v>Observações</x:v>
      </x:c>
      <x:c r="H4" s="32" t="str">
        <x:v>Não substitui projeto detalhado; registra hipóteses, alertas e incertezas.</x:v>
      </x:c>
    </x:row>
    <x:row r="5">
      <x:c r="A5" s="58" t="str">
        <x:v>Produto</x:v>
      </x:c>
      <x:c r="B5" s="32" t="str">
        <x:f>IF(Dashboard!B4="","",Dashboard!B4)</x:f>
      </x:c>
      <x:c r="C5" s="32" t="str"/>
      <x:c r="D5" s="58" t="str">
        <x:v>Responsável</x:v>
      </x:c>
      <x:c r="E5" s="32" t="str">
        <x:f>IF(Dashboard!B6="","",Dashboard!B6)</x:f>
      </x:c>
      <x:c r="F5" s="32" t="str"/>
      <x:c r="G5" s="58" t="str">
        <x:v>Status</x:v>
      </x:c>
      <x:c r="H5" s="32" t="str"/>
    </x:row>
    <x:row r="6">
      <x:c r="A6" s="61" t="e">
        <x:f>HYPERLINK("#'Dashboard'!A1","← Dashboard")</x:f>
      </x:c>
      <x:c r="B6" s="61" t="e">
        <x:f>HYPERLINK("#'Indice'!A1","Índice")</x:f>
      </x:c>
      <x:c r="C6" s="61" t="e">
        <x:f>HYPERLINK("#'Mapa_Selecao'!A1","Mapa de seleção")</x:f>
      </x:c>
    </x:row>
    <x:row r="8">
      <x:c r="A8" s="66" t="str">
        <x:v>Mapa de incertezas</x:v>
      </x:c>
      <x:c r="B8" s="66"/>
      <x:c r="C8" s="66"/>
      <x:c r="D8" s="66"/>
      <x:c r="E8" s="66"/>
      <x:c r="F8" s="66"/>
      <x:c r="G8" s="66"/>
      <x:c r="H8" s="66"/>
    </x:row>
    <x:row r="9">
      <x:c r="A9" s="20" t="str">
        <x:v>Incerteza</x:v>
      </x:c>
      <x:c r="B9" s="20" t="str">
        <x:v>Tipo</x:v>
      </x:c>
      <x:c r="C9" s="20" t="str">
        <x:v>Impacto</x:v>
      </x:c>
      <x:c r="D9" s="20" t="str">
        <x:v>Como investigar</x:v>
      </x:c>
      <x:c r="E9" s="20" t="str">
        <x:v>Responsável</x:v>
      </x:c>
      <x:c r="F9" s="20" t="str">
        <x:v>Prazo</x:v>
      </x:c>
      <x:c r="G9" s="20" t="str">
        <x:v>Status</x:v>
      </x:c>
      <x:c r="H9" s="20" t="str">
        <x:v>Encaminhamento</x:v>
      </x:c>
    </x:row>
    <x:row r="10">
      <x:c r="A10" s="37" t="str"/>
      <x:c r="B10" s="37" t="str"/>
      <x:c r="C10" s="37" t="str"/>
      <x:c r="D10" s="37" t="str"/>
      <x:c r="E10" s="37" t="str"/>
      <x:c r="F10" s="37" t="str"/>
      <x:c r="G10" s="37" t="str"/>
      <x:c r="H10" s="37" t="str"/>
    </x:row>
    <x:row r="11">
      <x:c r="A11" s="37" t="str"/>
      <x:c r="B11" s="37" t="str"/>
      <x:c r="C11" s="37" t="str"/>
      <x:c r="D11" s="37" t="str"/>
      <x:c r="E11" s="37" t="str"/>
      <x:c r="F11" s="37" t="str"/>
      <x:c r="G11" s="37" t="str"/>
      <x:c r="H11" s="37" t="str"/>
    </x:row>
    <x:row r="12">
      <x:c r="A12" s="37" t="str"/>
      <x:c r="B12" s="37" t="str"/>
      <x:c r="C12" s="37" t="str"/>
      <x:c r="D12" s="37" t="str"/>
      <x:c r="E12" s="37" t="str"/>
      <x:c r="F12" s="37" t="str"/>
      <x:c r="G12" s="37" t="str"/>
      <x:c r="H12" s="37" t="str"/>
    </x:row>
    <x:row r="13">
      <x:c r="A13" s="37" t="str"/>
      <x:c r="B13" s="37" t="str"/>
      <x:c r="C13" s="37" t="str"/>
      <x:c r="D13" s="37" t="str"/>
      <x:c r="E13" s="37" t="str"/>
      <x:c r="F13" s="37" t="str"/>
      <x:c r="G13" s="37" t="str"/>
      <x:c r="H13" s="37" t="str"/>
    </x:row>
    <x:row r="14">
      <x:c r="A14" s="37" t="str"/>
      <x:c r="B14" s="37" t="str"/>
      <x:c r="C14" s="37" t="str"/>
      <x:c r="D14" s="37" t="str"/>
      <x:c r="E14" s="37" t="str"/>
      <x:c r="F14" s="37" t="str"/>
      <x:c r="G14" s="37" t="str"/>
      <x:c r="H14" s="37" t="str"/>
    </x:row>
    <x:row r="15">
      <x:c r="A15" s="37" t="str"/>
      <x:c r="B15" s="37" t="str"/>
      <x:c r="C15" s="37" t="str"/>
      <x:c r="D15" s="37" t="str"/>
      <x:c r="E15" s="37" t="str"/>
      <x:c r="F15" s="37" t="str"/>
      <x:c r="G15" s="37" t="str"/>
      <x:c r="H15" s="37" t="str"/>
    </x:row>
    <x:row r="16">
      <x:c r="A16" s="37" t="str"/>
      <x:c r="B16" s="37" t="str"/>
      <x:c r="C16" s="37" t="str"/>
      <x:c r="D16" s="37" t="str"/>
      <x:c r="E16" s="37" t="str"/>
      <x:c r="F16" s="37" t="str"/>
      <x:c r="G16" s="37" t="str"/>
      <x:c r="H16" s="37" t="str"/>
    </x:row>
    <x:row r="17">
      <x:c r="A17" s="37" t="str"/>
      <x:c r="B17" s="37" t="str"/>
      <x:c r="C17" s="37" t="str"/>
      <x:c r="D17" s="37" t="str"/>
      <x:c r="E17" s="37" t="str"/>
      <x:c r="F17" s="37" t="str"/>
      <x:c r="G17" s="37" t="str"/>
      <x:c r="H17" s="37" t="str"/>
    </x:row>
    <x:row r="18">
      <x:c r="A18" s="37" t="str"/>
      <x:c r="B18" s="37" t="str"/>
      <x:c r="C18" s="37" t="str"/>
      <x:c r="D18" s="37" t="str"/>
      <x:c r="E18" s="37" t="str"/>
      <x:c r="F18" s="37" t="str"/>
      <x:c r="G18" s="37" t="str"/>
      <x:c r="H18" s="37" t="str"/>
    </x:row>
    <x:row r="19">
      <x:c r="A19" s="37" t="str"/>
      <x:c r="B19" s="37" t="str"/>
      <x:c r="C19" s="37" t="str"/>
      <x:c r="D19" s="37" t="str"/>
      <x:c r="E19" s="37" t="str"/>
      <x:c r="F19" s="37" t="str"/>
      <x:c r="G19" s="37" t="str"/>
      <x:c r="H19" s="37" t="str"/>
    </x:row>
    <x:row r="20">
      <x:c r="A20" s="37" t="str"/>
      <x:c r="B20" s="37" t="str"/>
      <x:c r="C20" s="37" t="str"/>
      <x:c r="D20" s="37" t="str"/>
      <x:c r="E20" s="37" t="str"/>
      <x:c r="F20" s="37" t="str"/>
      <x:c r="G20" s="37" t="str"/>
      <x:c r="H20" s="37" t="str"/>
    </x:row>
    <x:row r="21">
      <x:c r="A21" s="37" t="str"/>
      <x:c r="B21" s="37" t="str"/>
      <x:c r="C21" s="37" t="str"/>
      <x:c r="D21" s="37" t="str"/>
      <x:c r="E21" s="37" t="str"/>
      <x:c r="F21" s="37" t="str"/>
      <x:c r="G21" s="37" t="str"/>
      <x:c r="H21" s="37" t="str"/>
    </x:row>
    <x:row r="22">
      <x:c r="A22" s="37" t="str"/>
      <x:c r="B22" s="37" t="str"/>
      <x:c r="C22" s="37" t="str"/>
      <x:c r="D22" s="37" t="str"/>
      <x:c r="E22" s="37" t="str"/>
      <x:c r="F22" s="37" t="str"/>
      <x:c r="G22" s="37" t="str"/>
      <x:c r="H22" s="37" t="str"/>
    </x:row>
    <x:row r="23">
      <x:c r="A23" s="37" t="str"/>
      <x:c r="B23" s="37" t="str"/>
      <x:c r="C23" s="37" t="str"/>
      <x:c r="D23" s="37" t="str"/>
      <x:c r="E23" s="37" t="str"/>
      <x:c r="F23" s="37" t="str"/>
      <x:c r="G23" s="37" t="str"/>
      <x:c r="H23" s="37" t="str"/>
    </x:row>
    <x:row r="24">
      <x:c r="A24" s="37" t="str"/>
      <x:c r="B24" s="37" t="str"/>
      <x:c r="C24" s="37" t="str"/>
      <x:c r="D24" s="37" t="str"/>
      <x:c r="E24" s="37" t="str"/>
      <x:c r="F24" s="37" t="str"/>
      <x:c r="G24" s="37" t="str"/>
      <x:c r="H24" s="37" t="str"/>
    </x:row>
    <x:row r="25">
      <x:c r="A25" s="37" t="str"/>
      <x:c r="B25" s="37" t="str"/>
      <x:c r="C25" s="37" t="str"/>
      <x:c r="D25" s="37" t="str"/>
      <x:c r="E25" s="37" t="str"/>
      <x:c r="F25" s="37" t="str"/>
      <x:c r="G25" s="37" t="str"/>
      <x:c r="H25" s="37" t="str"/>
    </x:row>
  </x:sheetData>
  <x:mergeCells>
    <x:mergeCell ref="A1:H1"/>
    <x:mergeCell ref="A2:H2"/>
    <x:mergeCell ref="A8:H8"/>
  </x:mergeCells>
  <x:dataValidations count="4">
    <x:dataValidation type="list" sqref="H5">
      <x:formula1>"Não iniciado,Em preenchimento,Em revisão,Concluído"</x:formula1>
    </x:dataValidation>
    <x:dataValidation type="list" sqref="B10:B25">
      <x:formula1>"Técnica,Clínica,Regulatória,Mercado,Custo,Fornecedor,Uso"</x:formula1>
    </x:dataValidation>
    <x:dataValidation type="list" sqref="C10:C25">
      <x:formula1>"Baixo,Médio,Alto"</x:formula1>
    </x:dataValidation>
    <x:dataValidation type="list" sqref="G10:G25">
      <x:formula1>"Aberta,Em investigação,Reduzida,Fechada"</x:formula1>
    </x:dataValidation>
  </x:dataValidations>
  <x:pageMargins left="0.7" right="0.7" top="0.75" bottom="0.75" header="0.3" footer="0.3"/>
</x:worksheet>
</file>

<file path=xl/worksheets/sheet22.xml><?xml version="1.0" encoding="utf-8"?>
<x:worksheet xmlns:x="http://schemas.openxmlformats.org/spreadsheetml/2006/main">
  <x:sheetFormatPr defaultRowHeight="15"/>
  <x:cols>
    <x:col min="1" max="1" width="48" hidden="0" customWidth="1"/>
    <x:col min="2" max="2" width="16" hidden="0" customWidth="1"/>
    <x:col min="3" max="3" width="10" hidden="0" customWidth="1"/>
    <x:col min="4" max="4" width="14" hidden="0" customWidth="1"/>
    <x:col min="5" max="5" width="56" hidden="0" customWidth="1"/>
    <x:col min="6" max="6" width="22" hidden="0" customWidth="1"/>
    <x:col min="7" max="7" width="22" hidden="0" customWidth="1"/>
    <x:col min="8" max="8" width="22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</x:cols>
  <x:sheetData>
    <x:row r="1">
      <x:c r="A1" s="4" t="str">
        <x:v>Matriz Go/No-Go — Gate 1</x:v>
      </x:c>
      <x:c r="B1" s="4"/>
      <x:c r="C1" s="4"/>
      <x:c r="D1" s="4"/>
      <x:c r="E1" s="4"/>
      <x:c r="F1" s="4"/>
      <x:c r="G1" s="4"/>
      <x:c r="H1" s="4"/>
    </x:row>
    <x:row r="2">
      <x:c r="A2" s="11" t="str">
        <x:v>Ferramenta do ciclo de idealização até conceito aprovado. Preencha somente quando aplicável ao produto.</x:v>
      </x:c>
      <x:c r="B2" s="11"/>
      <x:c r="C2" s="11"/>
      <x:c r="D2" s="11"/>
      <x:c r="E2" s="11"/>
      <x:c r="F2" s="11"/>
      <x:c r="G2" s="11"/>
      <x:c r="H2" s="11"/>
    </x:row>
    <x:row r="3">
      <x:c r="A3" s="58" t="str">
        <x:v>Código</x:v>
      </x:c>
      <x:c r="B3" s="32" t="str">
        <x:v>G1_GONOGO</x:v>
      </x:c>
      <x:c r="C3" s="32" t="str"/>
      <x:c r="D3" s="58" t="str">
        <x:v>Gate</x:v>
      </x:c>
      <x:c r="E3" s="32" t="str">
        <x:v>Gate 1 — Oportunidade e Necessidade</x:v>
      </x:c>
      <x:c r="F3" s="32" t="str"/>
      <x:c r="G3" s="58" t="str">
        <x:v>Tipo</x:v>
      </x:c>
      <x:c r="H3" s="32" t="str">
        <x:v>Decisão</x:v>
      </x:c>
    </x:row>
    <x:row r="4">
      <x:c r="A4" s="58" t="str">
        <x:v>Propósito</x:v>
      </x:c>
      <x:c r="B4" s="32" t="str">
        <x:v>Decidir se avança para estratégia conceitual</x:v>
      </x:c>
      <x:c r="C4" s="32" t="str"/>
      <x:c r="D4" s="58" t="str">
        <x:v>Quando usar</x:v>
      </x:c>
      <x:c r="E4" s="32" t="str">
        <x:v>Conforme pacote inteligente / Mapa_Selecao</x:v>
      </x:c>
      <x:c r="F4" s="32" t="str"/>
      <x:c r="G4" s="58" t="str">
        <x:v>Observações</x:v>
      </x:c>
      <x:c r="H4" s="32" t="str">
        <x:v>Não substitui projeto detalhado; registra hipóteses, alertas e incertezas.</x:v>
      </x:c>
    </x:row>
    <x:row r="5">
      <x:c r="A5" s="58" t="str">
        <x:v>Produto</x:v>
      </x:c>
      <x:c r="B5" s="32" t="str">
        <x:f>IF(Dashboard!B4="","",Dashboard!B4)</x:f>
      </x:c>
      <x:c r="C5" s="32" t="str"/>
      <x:c r="D5" s="58" t="str">
        <x:v>Responsável</x:v>
      </x:c>
      <x:c r="E5" s="32" t="str">
        <x:f>IF(Dashboard!B6="","",Dashboard!B6)</x:f>
      </x:c>
      <x:c r="F5" s="32" t="str"/>
      <x:c r="G5" s="58" t="str">
        <x:v>Status</x:v>
      </x:c>
      <x:c r="H5" s="32" t="str"/>
    </x:row>
    <x:row r="6">
      <x:c r="A6" s="61" t="e">
        <x:f>HYPERLINK("#'Dashboard'!A1","← Dashboard")</x:f>
      </x:c>
      <x:c r="B6" s="61" t="e">
        <x:f>HYPERLINK("#'Indice'!A1","Índice")</x:f>
      </x:c>
      <x:c r="C6" s="61" t="e">
        <x:f>HYPERLINK("#'Mapa_Selecao'!A1","Mapa de seleção")</x:f>
      </x:c>
    </x:row>
    <x:row r="8">
      <x:c r="A8" s="66" t="str">
        <x:v>Matriz Go/No-Go — Gate 1</x:v>
      </x:c>
      <x:c r="B8" s="66" t="str"/>
      <x:c r="C8" s="66" t="str"/>
      <x:c r="D8" s="66" t="str"/>
      <x:c r="E8" s="66" t="str"/>
    </x:row>
    <x:row r="9">
      <x:c r="A9" s="20" t="str">
        <x:v>Critério</x:v>
      </x:c>
      <x:c r="B9" s="20" t="str">
        <x:v>Resposta</x:v>
      </x:c>
      <x:c r="C9" s="20" t="str">
        <x:v>Peso</x:v>
      </x:c>
      <x:c r="D9" s="20" t="str">
        <x:v>Pontuação</x:v>
      </x:c>
      <x:c r="E9" s="20" t="str">
        <x:v>Evidência / observação</x:v>
      </x:c>
    </x:row>
    <x:row r="10">
      <x:c r="A10" t="str">
        <x:v>Oportunidade claramente descrita</x:v>
      </x:c>
      <x:c r="B10" t="str"/>
      <x:c r="C10" t="n">
        <x:v>1</x:v>
      </x:c>
      <x:c r="D10" t="n">
        <x:f>IF(B10="Sim",1,IF(B10="Parcial",0.5,IF(B10="Não",0,"")))*C10</x:f>
        <x:v>0</x:v>
      </x:c>
      <x:c r="E10" t="str"/>
    </x:row>
    <x:row r="11">
      <x:c r="A11" t="str">
        <x:v>Necessidade real ou plausível</x:v>
      </x:c>
      <x:c r="B11" t="str"/>
      <x:c r="C11" t="n">
        <x:v>1</x:v>
      </x:c>
      <x:c r="D11" t="n">
        <x:f>IF(B11="Sim",1,IF(B11="Parcial",0.5,IF(B11="Não",0,"")))*C11</x:f>
        <x:v>0</x:v>
      </x:c>
      <x:c r="E11" t="str"/>
    </x:row>
    <x:row r="12">
      <x:c r="A12" t="str">
        <x:v>Usuário/cliente identificado</x:v>
      </x:c>
      <x:c r="B12" t="str"/>
      <x:c r="C12" t="n">
        <x:v>1</x:v>
      </x:c>
      <x:c r="D12" t="n">
        <x:f>IF(B12="Sim",1,IF(B12="Parcial",0.5,IF(B12="Não",0,"")))*C12</x:f>
        <x:v>0</x:v>
      </x:c>
      <x:c r="E12" t="str"/>
    </x:row>
    <x:row r="13">
      <x:c r="A13" t="str">
        <x:v>Valor percebido inicial</x:v>
      </x:c>
      <x:c r="B13" t="str"/>
      <x:c r="C13" t="n">
        <x:v>1</x:v>
      </x:c>
      <x:c r="D13" t="n">
        <x:f>IF(B13="Sim",1,IF(B13="Parcial",0.5,IF(B13="Não",0,"")))*C13</x:f>
        <x:v>0</x:v>
      </x:c>
      <x:c r="E13" t="str"/>
    </x:row>
    <x:row r="14">
      <x:c r="A14" t="str">
        <x:v>Alinhamento estratégico</x:v>
      </x:c>
      <x:c r="B14" t="str"/>
      <x:c r="C14" t="n">
        <x:v>1</x:v>
      </x:c>
      <x:c r="D14" t="n">
        <x:f>IF(B14="Sim",1,IF(B14="Parcial",0.5,IF(B14="Não",0,"")))*C14</x:f>
        <x:v>0</x:v>
      </x:c>
      <x:c r="E14" t="str"/>
    </x:row>
    <x:row r="15">
      <x:c r="A15" t="str">
        <x:v>Incertezas impeditivas ausentes</x:v>
      </x:c>
      <x:c r="B15" t="str"/>
      <x:c r="C15" t="n">
        <x:v>1</x:v>
      </x:c>
      <x:c r="D15" t="n">
        <x:f>IF(B15="Sim",1,IF(B15="Parcial",0.5,IF(B15="Não",0,"")))*C15</x:f>
        <x:v>0</x:v>
      </x:c>
      <x:c r="E15" t="str"/>
    </x:row>
    <x:row r="16">
      <x:c r="A16" t="str">
        <x:v>Próxima etapa clara</x:v>
      </x:c>
      <x:c r="B16" t="str"/>
      <x:c r="C16" t="n">
        <x:v>1</x:v>
      </x:c>
      <x:c r="D16" t="n">
        <x:f>IF(B16="Sim",1,IF(B16="Parcial",0.5,IF(B16="Não",0,"")))*C16</x:f>
        <x:v>0</x:v>
      </x:c>
      <x:c r="E16" t="str"/>
    </x:row>
    <x:row r="18">
      <x:c r="A18" s="71" t="str">
        <x:v>Resultado ponderado</x:v>
      </x:c>
      <x:c r="B18" s="71" t="str"/>
      <x:c r="C18" s="71" t="str"/>
      <x:c r="D18" s="74" t="n">
        <x:f>IFERROR(SUM(D10:D16)/SUM(C10:C16),0)</x:f>
        <x:v>0</x:v>
      </x:c>
      <x:c r="E18" s="71" t="str"/>
    </x:row>
    <x:row r="19">
      <x:c r="A19" s="71" t="str">
        <x:v>Decisão sugerida</x:v>
      </x:c>
      <x:c r="B19" s="71" t="str"/>
      <x:c r="C19" s="71" t="str"/>
      <x:c r="D19" s="71" t="str">
        <x:f>IF(D18&gt;=0.75,"Go",IF(D18&gt;=0.55,"Revisar",IF(D18&gt;=0.4,"Pausar","No-Go")))</x:f>
        <x:v>No-Go</x:v>
      </x:c>
      <x:c r="E19" s="71" t="str"/>
    </x:row>
  </x:sheetData>
  <x:mergeCells>
    <x:mergeCell ref="A1:H1"/>
    <x:mergeCell ref="A2:H2"/>
    <x:mergeCell ref="A8:E8"/>
  </x:mergeCells>
  <x:dataValidations count="2">
    <x:dataValidation type="list" sqref="H5">
      <x:formula1>"Não iniciado,Em preenchimento,Em revisão,Concluído"</x:formula1>
    </x:dataValidation>
    <x:dataValidation type="list" sqref="B10:B16">
      <x:formula1>"Sim,Parcial,Não,N/A"</x:formula1>
    </x:dataValidation>
  </x:dataValidations>
  <x:pageMargins left="0.7" right="0.7" top="0.75" bottom="0.75" header="0.3" footer="0.3"/>
</x:worksheet>
</file>

<file path=xl/worksheets/sheet23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14" hidden="0" customWidth="1"/>
    <x:col min="3" max="3" width="42" hidden="0" customWidth="1"/>
    <x:col min="4" max="4" width="36" hidden="0" customWidth="1"/>
    <x:col min="5" max="5" width="32" hidden="0" customWidth="1"/>
    <x:col min="6" max="6" width="22" hidden="0" customWidth="1"/>
    <x:col min="7" max="7" width="22" hidden="0" customWidth="1"/>
    <x:col min="8" max="8" width="22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</x:cols>
  <x:sheetData>
    <x:row r="1">
      <x:c r="A1" s="4" t="str">
        <x:v>Classificação da rota de desenvolvimento</x:v>
      </x:c>
      <x:c r="B1" s="4"/>
      <x:c r="C1" s="4"/>
      <x:c r="D1" s="4"/>
      <x:c r="E1" s="4"/>
      <x:c r="F1" s="4"/>
      <x:c r="G1" s="4"/>
      <x:c r="H1" s="4"/>
    </x:row>
    <x:row r="2">
      <x:c r="A2" s="11" t="str">
        <x:v>Ferramenta do ciclo de idealização até conceito aprovado. Preencha somente quando aplicável ao produto.</x:v>
      </x:c>
      <x:c r="B2" s="11"/>
      <x:c r="C2" s="11"/>
      <x:c r="D2" s="11"/>
      <x:c r="E2" s="11"/>
      <x:c r="F2" s="11"/>
      <x:c r="G2" s="11"/>
      <x:c r="H2" s="11"/>
    </x:row>
    <x:row r="3">
      <x:c r="A3" s="58" t="str">
        <x:v>Código</x:v>
      </x:c>
      <x:c r="B3" s="32" t="str">
        <x:v>G2_ROTA</x:v>
      </x:c>
      <x:c r="C3" s="32" t="str"/>
      <x:c r="D3" s="58" t="str">
        <x:v>Gate</x:v>
      </x:c>
      <x:c r="E3" s="32" t="str">
        <x:v>Gate 2 — Estratégia e Requisitos</x:v>
      </x:c>
      <x:c r="F3" s="32" t="str"/>
      <x:c r="G3" s="58" t="str">
        <x:v>Tipo</x:v>
      </x:c>
      <x:c r="H3" s="32" t="str">
        <x:v>Estratégia</x:v>
      </x:c>
    </x:row>
    <x:row r="4">
      <x:c r="A4" s="58" t="str">
        <x:v>Propósito</x:v>
      </x:c>
      <x:c r="B4" s="32" t="str">
        <x:v>Identificar OEM, adaptação, inovação, kit etc.</x:v>
      </x:c>
      <x:c r="C4" s="32" t="str"/>
      <x:c r="D4" s="58" t="str">
        <x:v>Quando usar</x:v>
      </x:c>
      <x:c r="E4" s="32" t="str">
        <x:v>Conforme pacote inteligente / Mapa_Selecao</x:v>
      </x:c>
      <x:c r="F4" s="32" t="str"/>
      <x:c r="G4" s="58" t="str">
        <x:v>Observações</x:v>
      </x:c>
      <x:c r="H4" s="32" t="str">
        <x:v>Não substitui projeto detalhado; registra hipóteses, alertas e incertezas.</x:v>
      </x:c>
    </x:row>
    <x:row r="5">
      <x:c r="A5" s="58" t="str">
        <x:v>Produto</x:v>
      </x:c>
      <x:c r="B5" s="32" t="str">
        <x:f>IF(Dashboard!B4="","",Dashboard!B4)</x:f>
      </x:c>
      <x:c r="C5" s="32" t="str"/>
      <x:c r="D5" s="58" t="str">
        <x:v>Responsável</x:v>
      </x:c>
      <x:c r="E5" s="32" t="str">
        <x:f>IF(Dashboard!B6="","",Dashboard!B6)</x:f>
      </x:c>
      <x:c r="F5" s="32" t="str"/>
      <x:c r="G5" s="58" t="str">
        <x:v>Status</x:v>
      </x:c>
      <x:c r="H5" s="32" t="str"/>
    </x:row>
    <x:row r="6">
      <x:c r="A6" s="61" t="e">
        <x:f>HYPERLINK("#'Dashboard'!A1","← Dashboard")</x:f>
      </x:c>
      <x:c r="B6" s="61" t="e">
        <x:f>HYPERLINK("#'Indice'!A1","Índice")</x:f>
      </x:c>
      <x:c r="C6" s="61" t="e">
        <x:f>HYPERLINK("#'Mapa_Selecao'!A1","Mapa de seleção")</x:f>
      </x:c>
    </x:row>
    <x:row r="8">
      <x:c r="A8" s="66" t="str">
        <x:v>Classificação da rota de desenvolvimento</x:v>
      </x:c>
      <x:c r="B8" s="66" t="str"/>
      <x:c r="C8" s="66" t="str"/>
      <x:c r="D8" s="66" t="str"/>
      <x:c r="E8" s="66" t="str"/>
    </x:row>
    <x:row r="9">
      <x:c r="A9" s="20" t="str">
        <x:v>Rota</x:v>
      </x:c>
      <x:c r="B9" s="20" t="str">
        <x:v>Aplicável? (0/1)</x:v>
      </x:c>
      <x:c r="C9" s="20" t="str">
        <x:v>Justificativa</x:v>
      </x:c>
      <x:c r="D9" s="20" t="str">
        <x:v>Impacto no conceito</x:v>
      </x:c>
      <x:c r="E9" s="20" t="str">
        <x:v>Próxima ação</x:v>
      </x:c>
    </x:row>
    <x:row r="10">
      <x:c r="A10" t="str">
        <x:v>Revenda simples</x:v>
      </x:c>
      <x:c r="B10" t="str"/>
      <x:c r="C10" t="str"/>
      <x:c r="D10" t="str"/>
      <x:c r="E10" t="str"/>
    </x:row>
    <x:row r="11">
      <x:c r="A11" t="str">
        <x:v>OEM / white label</x:v>
      </x:c>
      <x:c r="B11" t="str"/>
      <x:c r="C11" t="str"/>
      <x:c r="D11" t="str"/>
      <x:c r="E11" t="str"/>
    </x:row>
    <x:row r="12">
      <x:c r="A12" t="str">
        <x:v>Adaptação</x:v>
      </x:c>
      <x:c r="B12" t="str"/>
      <x:c r="C12" t="str"/>
      <x:c r="D12" t="str"/>
      <x:c r="E12" t="str"/>
    </x:row>
    <x:row r="13">
      <x:c r="A13" t="str">
        <x:v>Produto similar</x:v>
      </x:c>
      <x:c r="B13" t="str"/>
      <x:c r="C13" t="str"/>
      <x:c r="D13" t="str"/>
      <x:c r="E13" t="str"/>
    </x:row>
    <x:row r="14">
      <x:c r="A14" t="str">
        <x:v>Kit ou acessório</x:v>
      </x:c>
      <x:c r="B14" t="str"/>
      <x:c r="C14" t="str"/>
      <x:c r="D14" t="str"/>
      <x:c r="E14" t="str"/>
    </x:row>
    <x:row r="15">
      <x:c r="A15" t="str">
        <x:v>Substituição de fornecedor</x:v>
      </x:c>
      <x:c r="B15" t="str"/>
      <x:c r="C15" t="str"/>
      <x:c r="D15" t="str"/>
      <x:c r="E15" t="str"/>
    </x:row>
    <x:row r="16">
      <x:c r="A16" t="str">
        <x:v>Internalização/nacionalização</x:v>
      </x:c>
      <x:c r="B16" t="str"/>
      <x:c r="C16" t="str"/>
      <x:c r="D16" t="str"/>
      <x:c r="E16" t="str"/>
    </x:row>
    <x:row r="17">
      <x:c r="A17" t="str">
        <x:v>Inovação incremental</x:v>
      </x:c>
      <x:c r="B17" t="str"/>
      <x:c r="C17" t="str"/>
      <x:c r="D17" t="str"/>
      <x:c r="E17" t="str"/>
    </x:row>
    <x:row r="18">
      <x:c r="A18" t="str">
        <x:v>Inovação radical/plataforma</x:v>
      </x:c>
      <x:c r="B18" t="str"/>
      <x:c r="C18" t="str"/>
      <x:c r="D18" t="str"/>
      <x:c r="E18" t="str"/>
    </x:row>
  </x:sheetData>
  <x:mergeCells>
    <x:mergeCell ref="A1:H1"/>
    <x:mergeCell ref="A2:H2"/>
    <x:mergeCell ref="A8:E8"/>
  </x:mergeCells>
  <x:dataValidations count="2">
    <x:dataValidation type="list" sqref="H5">
      <x:formula1>"Não iniciado,Em preenchimento,Em revisão,Concluído"</x:formula1>
    </x:dataValidation>
    <x:dataValidation type="list" sqref="B10:B18">
      <x:formula1>"0,1"</x:formula1>
    </x:dataValidation>
  </x:dataValidations>
  <x:pageMargins left="0.7" right="0.7" top="0.75" bottom="0.75" header="0.3" footer="0.3"/>
</x:worksheet>
</file>

<file path=xl/worksheets/sheet24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50" hidden="0" customWidth="1"/>
    <x:col min="3" max="3" width="28" hidden="0" customWidth="1"/>
    <x:col min="4" max="4" width="16" hidden="0" customWidth="1"/>
    <x:col min="5" max="5" width="14" hidden="0" customWidth="1"/>
    <x:col min="6" max="6" width="42" hidden="0" customWidth="1"/>
    <x:col min="7" max="7" width="22" hidden="0" customWidth="1"/>
    <x:col min="8" max="8" width="22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</x:cols>
  <x:sheetData>
    <x:row r="1">
      <x:c r="A1" s="4" t="str">
        <x:v>Lista de necessidades do usuário</x:v>
      </x:c>
      <x:c r="B1" s="4"/>
      <x:c r="C1" s="4"/>
      <x:c r="D1" s="4"/>
      <x:c r="E1" s="4"/>
      <x:c r="F1" s="4"/>
      <x:c r="G1" s="4"/>
      <x:c r="H1" s="4"/>
    </x:row>
    <x:row r="2">
      <x:c r="A2" s="11" t="str">
        <x:v>Ferramenta do ciclo de idealização até conceito aprovado. Preencha somente quando aplicável ao produto.</x:v>
      </x:c>
      <x:c r="B2" s="11"/>
      <x:c r="C2" s="11"/>
      <x:c r="D2" s="11"/>
      <x:c r="E2" s="11"/>
      <x:c r="F2" s="11"/>
      <x:c r="G2" s="11"/>
      <x:c r="H2" s="11"/>
    </x:row>
    <x:row r="3">
      <x:c r="A3" s="58" t="str">
        <x:v>Código</x:v>
      </x:c>
      <x:c r="B3" s="32" t="str">
        <x:v>G2_NECESS</x:v>
      </x:c>
      <x:c r="C3" s="32" t="str"/>
      <x:c r="D3" s="58" t="str">
        <x:v>Gate</x:v>
      </x:c>
      <x:c r="E3" s="32" t="str">
        <x:v>Gate 2 — Estratégia e Requisitos</x:v>
      </x:c>
      <x:c r="F3" s="32" t="str"/>
      <x:c r="G3" s="58" t="str">
        <x:v>Tipo</x:v>
      </x:c>
      <x:c r="H3" s="32" t="str">
        <x:v>Requisitos</x:v>
      </x:c>
    </x:row>
    <x:row r="4">
      <x:c r="A4" s="58" t="str">
        <x:v>Propósito</x:v>
      </x:c>
      <x:c r="B4" s="32" t="str">
        <x:v>Consolidar necessidades levantadas</x:v>
      </x:c>
      <x:c r="C4" s="32" t="str"/>
      <x:c r="D4" s="58" t="str">
        <x:v>Quando usar</x:v>
      </x:c>
      <x:c r="E4" s="32" t="str">
        <x:v>Conforme pacote inteligente / Mapa_Selecao</x:v>
      </x:c>
      <x:c r="F4" s="32" t="str"/>
      <x:c r="G4" s="58" t="str">
        <x:v>Observações</x:v>
      </x:c>
      <x:c r="H4" s="32" t="str">
        <x:v>Não substitui projeto detalhado; registra hipóteses, alertas e incertezas.</x:v>
      </x:c>
    </x:row>
    <x:row r="5">
      <x:c r="A5" s="58" t="str">
        <x:v>Produto</x:v>
      </x:c>
      <x:c r="B5" s="32" t="str">
        <x:f>IF(Dashboard!B4="","",Dashboard!B4)</x:f>
      </x:c>
      <x:c r="C5" s="32" t="str"/>
      <x:c r="D5" s="58" t="str">
        <x:v>Responsável</x:v>
      </x:c>
      <x:c r="E5" s="32" t="str">
        <x:f>IF(Dashboard!B6="","",Dashboard!B6)</x:f>
      </x:c>
      <x:c r="F5" s="32" t="str"/>
      <x:c r="G5" s="58" t="str">
        <x:v>Status</x:v>
      </x:c>
      <x:c r="H5" s="32" t="str"/>
    </x:row>
    <x:row r="6">
      <x:c r="A6" s="61" t="e">
        <x:f>HYPERLINK("#'Dashboard'!A1","← Dashboard")</x:f>
      </x:c>
      <x:c r="B6" s="61" t="e">
        <x:f>HYPERLINK("#'Indice'!A1","Índice")</x:f>
      </x:c>
      <x:c r="C6" s="61" t="e">
        <x:f>HYPERLINK("#'Mapa_Selecao'!A1","Mapa de seleção")</x:f>
      </x:c>
    </x:row>
    <x:row r="8">
      <x:c r="A8" s="66" t="str">
        <x:v>Lista de necessidades do usuário</x:v>
      </x:c>
      <x:c r="B8" s="66" t="str"/>
      <x:c r="C8" s="66" t="str"/>
      <x:c r="D8" s="66" t="str"/>
      <x:c r="E8" s="66" t="str"/>
      <x:c r="F8" s="66" t="str"/>
    </x:row>
    <x:row r="9">
      <x:c r="A9" s="20" t="str">
        <x:v>ID</x:v>
      </x:c>
      <x:c r="B9" s="20" t="str">
        <x:v>Necessidade do usuário</x:v>
      </x:c>
      <x:c r="C9" s="20" t="str">
        <x:v>Fonte</x:v>
      </x:c>
      <x:c r="D9" s="20" t="str">
        <x:v>Importância (1-5)</x:v>
      </x:c>
      <x:c r="E9" s="20" t="str">
        <x:v>Frequência</x:v>
      </x:c>
      <x:c r="F9" s="20" t="str">
        <x:v>Observação</x:v>
      </x:c>
    </x:row>
    <x:row r="10">
      <x:c r="A10" t="str">
        <x:v>N01</x:v>
      </x:c>
      <x:c r="B10" t="str"/>
      <x:c r="C10" t="str"/>
      <x:c r="D10" t="str"/>
      <x:c r="E10" t="str"/>
      <x:c r="F10" t="str"/>
    </x:row>
    <x:row r="11">
      <x:c r="A11" t="str">
        <x:v>N02</x:v>
      </x:c>
      <x:c r="B11" t="str"/>
      <x:c r="C11" t="str"/>
      <x:c r="D11" t="str"/>
      <x:c r="E11" t="str"/>
      <x:c r="F11" t="str"/>
    </x:row>
    <x:row r="12">
      <x:c r="A12" t="str">
        <x:v>N03</x:v>
      </x:c>
      <x:c r="B12" t="str"/>
      <x:c r="C12" t="str"/>
      <x:c r="D12" t="str"/>
      <x:c r="E12" t="str"/>
      <x:c r="F12" t="str"/>
    </x:row>
    <x:row r="13">
      <x:c r="A13" t="str">
        <x:v>N04</x:v>
      </x:c>
      <x:c r="B13" t="str"/>
      <x:c r="C13" t="str"/>
      <x:c r="D13" t="str"/>
      <x:c r="E13" t="str"/>
      <x:c r="F13" t="str"/>
    </x:row>
    <x:row r="14">
      <x:c r="A14" t="str">
        <x:v>N05</x:v>
      </x:c>
      <x:c r="B14" t="str"/>
      <x:c r="C14" t="str"/>
      <x:c r="D14" t="str"/>
      <x:c r="E14" t="str"/>
      <x:c r="F14" t="str"/>
    </x:row>
    <x:row r="15">
      <x:c r="A15" t="str">
        <x:v>N06</x:v>
      </x:c>
      <x:c r="B15" t="str"/>
      <x:c r="C15" t="str"/>
      <x:c r="D15" t="str"/>
      <x:c r="E15" t="str"/>
      <x:c r="F15" t="str"/>
    </x:row>
    <x:row r="16">
      <x:c r="A16" t="str">
        <x:v>N07</x:v>
      </x:c>
      <x:c r="B16" t="str"/>
      <x:c r="C16" t="str"/>
      <x:c r="D16" t="str"/>
      <x:c r="E16" t="str"/>
      <x:c r="F16" t="str"/>
    </x:row>
    <x:row r="17">
      <x:c r="A17" t="str">
        <x:v>N08</x:v>
      </x:c>
      <x:c r="B17" t="str"/>
      <x:c r="C17" t="str"/>
      <x:c r="D17" t="str"/>
      <x:c r="E17" t="str"/>
      <x:c r="F17" t="str"/>
    </x:row>
    <x:row r="18">
      <x:c r="A18" t="str">
        <x:v>N09</x:v>
      </x:c>
      <x:c r="B18" t="str"/>
      <x:c r="C18" t="str"/>
      <x:c r="D18" t="str"/>
      <x:c r="E18" t="str"/>
      <x:c r="F18" t="str"/>
    </x:row>
    <x:row r="19">
      <x:c r="A19" t="str">
        <x:v>N10</x:v>
      </x:c>
      <x:c r="B19" t="str"/>
      <x:c r="C19" t="str"/>
      <x:c r="D19" t="str"/>
      <x:c r="E19" t="str"/>
      <x:c r="F19" t="str"/>
    </x:row>
    <x:row r="20">
      <x:c r="A20" t="str">
        <x:v>N11</x:v>
      </x:c>
      <x:c r="B20" t="str"/>
      <x:c r="C20" t="str"/>
      <x:c r="D20" t="str"/>
      <x:c r="E20" t="str"/>
      <x:c r="F20" t="str"/>
    </x:row>
    <x:row r="21">
      <x:c r="A21" t="str">
        <x:v>N12</x:v>
      </x:c>
      <x:c r="B21" t="str"/>
      <x:c r="C21" t="str"/>
      <x:c r="D21" t="str"/>
      <x:c r="E21" t="str"/>
      <x:c r="F21" t="str"/>
    </x:row>
    <x:row r="22">
      <x:c r="A22" t="str">
        <x:v>N13</x:v>
      </x:c>
      <x:c r="B22" t="str"/>
      <x:c r="C22" t="str"/>
      <x:c r="D22" t="str"/>
      <x:c r="E22" t="str"/>
      <x:c r="F22" t="str"/>
    </x:row>
    <x:row r="23">
      <x:c r="A23" t="str">
        <x:v>N14</x:v>
      </x:c>
      <x:c r="B23" t="str"/>
      <x:c r="C23" t="str"/>
      <x:c r="D23" t="str"/>
      <x:c r="E23" t="str"/>
      <x:c r="F23" t="str"/>
    </x:row>
    <x:row r="24">
      <x:c r="A24" t="str">
        <x:v>N15</x:v>
      </x:c>
      <x:c r="B24" t="str"/>
      <x:c r="C24" t="str"/>
      <x:c r="D24" t="str"/>
      <x:c r="E24" t="str"/>
      <x:c r="F24" t="str"/>
    </x:row>
    <x:row r="25">
      <x:c r="A25" t="str">
        <x:v>N16</x:v>
      </x:c>
      <x:c r="B25" t="str"/>
      <x:c r="C25" t="str"/>
      <x:c r="D25" t="str"/>
      <x:c r="E25" t="str"/>
      <x:c r="F25" t="str"/>
    </x:row>
    <x:row r="26">
      <x:c r="A26" t="str">
        <x:v>N17</x:v>
      </x:c>
      <x:c r="B26" t="str"/>
      <x:c r="C26" t="str"/>
      <x:c r="D26" t="str"/>
      <x:c r="E26" t="str"/>
      <x:c r="F26" t="str"/>
    </x:row>
    <x:row r="27">
      <x:c r="A27" t="str">
        <x:v>N18</x:v>
      </x:c>
      <x:c r="B27" t="str"/>
      <x:c r="C27" t="str"/>
      <x:c r="D27" t="str"/>
      <x:c r="E27" t="str"/>
      <x:c r="F27" t="str"/>
    </x:row>
    <x:row r="28">
      <x:c r="A28" t="str">
        <x:v>N19</x:v>
      </x:c>
      <x:c r="B28" t="str"/>
      <x:c r="C28" t="str"/>
      <x:c r="D28" t="str"/>
      <x:c r="E28" t="str"/>
      <x:c r="F28" t="str"/>
    </x:row>
    <x:row r="29">
      <x:c r="A29" t="str">
        <x:v>N20</x:v>
      </x:c>
      <x:c r="B29" t="str"/>
      <x:c r="C29" t="str"/>
      <x:c r="D29" t="str"/>
      <x:c r="E29" t="str"/>
      <x:c r="F29" t="str"/>
    </x:row>
  </x:sheetData>
  <x:mergeCells>
    <x:mergeCell ref="A1:H1"/>
    <x:mergeCell ref="A2:H2"/>
    <x:mergeCell ref="A8:F8"/>
  </x:mergeCells>
  <x:dataValidations count="3">
    <x:dataValidation type="list" sqref="H5">
      <x:formula1>"Não iniciado,Em preenchimento,Em revisão,Concluído"</x:formula1>
    </x:dataValidation>
    <x:dataValidation type="list" sqref="D10:D29">
      <x:formula1>"1,2,3,4,5"</x:formula1>
    </x:dataValidation>
    <x:dataValidation type="list" sqref="E10:E29">
      <x:formula1>"Baixa,Média,Alta"</x:formula1>
    </x:dataValidation>
  </x:dataValidations>
  <x:pageMargins left="0.7" right="0.7" top="0.75" bottom="0.75" header="0.3" footer="0.3"/>
</x:worksheet>
</file>

<file path=xl/worksheets/sheet25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50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22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</x:cols>
  <x:sheetData>
    <x:row r="1">
      <x:c r="A1" s="4" t="str">
        <x:v>Priorização de necessidades</x:v>
      </x:c>
      <x:c r="B1" s="4"/>
      <x:c r="C1" s="4"/>
      <x:c r="D1" s="4"/>
      <x:c r="E1" s="4"/>
      <x:c r="F1" s="4"/>
      <x:c r="G1" s="4"/>
      <x:c r="H1" s="4"/>
    </x:row>
    <x:row r="2">
      <x:c r="A2" s="11" t="str">
        <x:v>Ferramenta do ciclo de idealização até conceito aprovado. Preencha somente quando aplicável ao produto.</x:v>
      </x:c>
      <x:c r="B2" s="11"/>
      <x:c r="C2" s="11"/>
      <x:c r="D2" s="11"/>
      <x:c r="E2" s="11"/>
      <x:c r="F2" s="11"/>
      <x:c r="G2" s="11"/>
      <x:c r="H2" s="11"/>
    </x:row>
    <x:row r="3">
      <x:c r="A3" s="58" t="str">
        <x:v>Código</x:v>
      </x:c>
      <x:c r="B3" s="32" t="str">
        <x:v>G2_PRIOR</x:v>
      </x:c>
      <x:c r="C3" s="32" t="str"/>
      <x:c r="D3" s="58" t="str">
        <x:v>Gate</x:v>
      </x:c>
      <x:c r="E3" s="32" t="str">
        <x:v>Gate 2 — Estratégia e Requisitos</x:v>
      </x:c>
      <x:c r="F3" s="32" t="str"/>
      <x:c r="G3" s="58" t="str">
        <x:v>Tipo</x:v>
      </x:c>
      <x:c r="H3" s="32" t="str">
        <x:v>Requisitos</x:v>
      </x:c>
    </x:row>
    <x:row r="4">
      <x:c r="A4" s="58" t="str">
        <x:v>Propósito</x:v>
      </x:c>
      <x:c r="B4" s="32" t="str">
        <x:v>Definir o que é mais importante</x:v>
      </x:c>
      <x:c r="C4" s="32" t="str"/>
      <x:c r="D4" s="58" t="str">
        <x:v>Quando usar</x:v>
      </x:c>
      <x:c r="E4" s="32" t="str">
        <x:v>Conforme pacote inteligente / Mapa_Selecao</x:v>
      </x:c>
      <x:c r="F4" s="32" t="str"/>
      <x:c r="G4" s="58" t="str">
        <x:v>Observações</x:v>
      </x:c>
      <x:c r="H4" s="32" t="str">
        <x:v>Não substitui projeto detalhado; registra hipóteses, alertas e incertezas.</x:v>
      </x:c>
    </x:row>
    <x:row r="5">
      <x:c r="A5" s="58" t="str">
        <x:v>Produto</x:v>
      </x:c>
      <x:c r="B5" s="32" t="str">
        <x:f>IF(Dashboard!B4="","",Dashboard!B4)</x:f>
      </x:c>
      <x:c r="C5" s="32" t="str"/>
      <x:c r="D5" s="58" t="str">
        <x:v>Responsável</x:v>
      </x:c>
      <x:c r="E5" s="32" t="str">
        <x:f>IF(Dashboard!B6="","",Dashboard!B6)</x:f>
      </x:c>
      <x:c r="F5" s="32" t="str"/>
      <x:c r="G5" s="58" t="str">
        <x:v>Status</x:v>
      </x:c>
      <x:c r="H5" s="32" t="str"/>
    </x:row>
    <x:row r="6">
      <x:c r="A6" s="61" t="e">
        <x:f>HYPERLINK("#'Dashboard'!A1","← Dashboard")</x:f>
      </x:c>
      <x:c r="B6" s="61" t="e">
        <x:f>HYPERLINK("#'Indice'!A1","Índice")</x:f>
      </x:c>
      <x:c r="C6" s="61" t="e">
        <x:f>HYPERLINK("#'Mapa_Selecao'!A1","Mapa de seleção")</x:f>
      </x:c>
    </x:row>
    <x:row r="8">
      <x:c r="A8" s="66" t="str">
        <x:v>Priorização de necessidades</x:v>
      </x:c>
      <x:c r="B8" s="66" t="str"/>
      <x:c r="C8" s="66" t="str"/>
      <x:c r="D8" s="66" t="str"/>
      <x:c r="E8" s="66" t="str"/>
      <x:c r="F8" s="66" t="str"/>
      <x:c r="G8" s="66" t="str"/>
    </x:row>
    <x:row r="9">
      <x:c r="A9" s="20" t="str">
        <x:v>ID</x:v>
      </x:c>
      <x:c r="B9" s="20" t="str">
        <x:v>Necessidade</x:v>
      </x:c>
      <x:c r="C9" s="20" t="str">
        <x:v>Importância</x:v>
      </x:c>
      <x:c r="D9" s="20" t="str">
        <x:v>Frequência</x:v>
      </x:c>
      <x:c r="E9" s="20" t="str">
        <x:v>Impacto</x:v>
      </x:c>
      <x:c r="F9" s="20" t="str">
        <x:v>Pontuação</x:v>
      </x:c>
      <x:c r="G9" s="20" t="str">
        <x:v>Prioridade</x:v>
      </x:c>
    </x:row>
    <x:row r="10">
      <x:c r="A10" t="str">
        <x:f>IF('G2_NECESS'!A10="","",'G2_NECESS'!A10)</x:f>
        <x:v>N01</x:v>
      </x:c>
      <x:c r="B10" t="str">
        <x:f>IF('G2_NECESS'!B10="","",'G2_NECESS'!B10)</x:f>
      </x:c>
      <x:c r="C10" t="str"/>
      <x:c r="D10" t="str"/>
      <x:c r="E10" t="str"/>
      <x:c r="F10" t="str">
        <x:f>IF(B10="","",IFERROR(C10*D10*E10,""))</x:f>
      </x:c>
      <x:c r="G10" t="str">
        <x:f>IF(F10="","",IF(F10&gt;=80,"Alta",IF(F10&gt;=40,"Média","Baixa")))</x:f>
      </x:c>
    </x:row>
    <x:row r="11">
      <x:c r="A11" t="str">
        <x:f>IF('G2_NECESS'!A11="","",'G2_NECESS'!A11)</x:f>
        <x:v>N02</x:v>
      </x:c>
      <x:c r="B11" t="str">
        <x:f>IF('G2_NECESS'!B11="","",'G2_NECESS'!B11)</x:f>
      </x:c>
      <x:c r="C11" t="str"/>
      <x:c r="D11" t="str"/>
      <x:c r="E11" t="str"/>
      <x:c r="F11" t="str">
        <x:f>IF(B11="","",IFERROR(C11*D11*E11,""))</x:f>
      </x:c>
      <x:c r="G11" t="str">
        <x:f>IF(F11="","",IF(F11&gt;=80,"Alta",IF(F11&gt;=40,"Média","Baixa")))</x:f>
      </x:c>
    </x:row>
    <x:row r="12">
      <x:c r="A12" t="str">
        <x:f>IF('G2_NECESS'!A12="","",'G2_NECESS'!A12)</x:f>
        <x:v>N03</x:v>
      </x:c>
      <x:c r="B12" t="str">
        <x:f>IF('G2_NECESS'!B12="","",'G2_NECESS'!B12)</x:f>
      </x:c>
      <x:c r="C12" t="str"/>
      <x:c r="D12" t="str"/>
      <x:c r="E12" t="str"/>
      <x:c r="F12" t="str">
        <x:f>IF(B12="","",IFERROR(C12*D12*E12,""))</x:f>
      </x:c>
      <x:c r="G12" t="str">
        <x:f>IF(F12="","",IF(F12&gt;=80,"Alta",IF(F12&gt;=40,"Média","Baixa")))</x:f>
      </x:c>
    </x:row>
    <x:row r="13">
      <x:c r="A13" t="str">
        <x:f>IF('G2_NECESS'!A13="","",'G2_NECESS'!A13)</x:f>
        <x:v>N04</x:v>
      </x:c>
      <x:c r="B13" t="str">
        <x:f>IF('G2_NECESS'!B13="","",'G2_NECESS'!B13)</x:f>
      </x:c>
      <x:c r="C13" t="str"/>
      <x:c r="D13" t="str"/>
      <x:c r="E13" t="str"/>
      <x:c r="F13" t="str">
        <x:f>IF(B13="","",IFERROR(C13*D13*E13,""))</x:f>
      </x:c>
      <x:c r="G13" t="str">
        <x:f>IF(F13="","",IF(F13&gt;=80,"Alta",IF(F13&gt;=40,"Média","Baixa")))</x:f>
      </x:c>
    </x:row>
    <x:row r="14">
      <x:c r="A14" t="str">
        <x:f>IF('G2_NECESS'!A14="","",'G2_NECESS'!A14)</x:f>
        <x:v>N05</x:v>
      </x:c>
      <x:c r="B14" t="str">
        <x:f>IF('G2_NECESS'!B14="","",'G2_NECESS'!B14)</x:f>
      </x:c>
      <x:c r="C14" t="str"/>
      <x:c r="D14" t="str"/>
      <x:c r="E14" t="str"/>
      <x:c r="F14" t="str">
        <x:f>IF(B14="","",IFERROR(C14*D14*E14,""))</x:f>
      </x:c>
      <x:c r="G14" t="str">
        <x:f>IF(F14="","",IF(F14&gt;=80,"Alta",IF(F14&gt;=40,"Média","Baixa")))</x:f>
      </x:c>
    </x:row>
    <x:row r="15">
      <x:c r="A15" t="str">
        <x:f>IF('G2_NECESS'!A15="","",'G2_NECESS'!A15)</x:f>
        <x:v>N06</x:v>
      </x:c>
      <x:c r="B15" t="str">
        <x:f>IF('G2_NECESS'!B15="","",'G2_NECESS'!B15)</x:f>
      </x:c>
      <x:c r="C15" t="str"/>
      <x:c r="D15" t="str"/>
      <x:c r="E15" t="str"/>
      <x:c r="F15" t="str">
        <x:f>IF(B15="","",IFERROR(C15*D15*E15,""))</x:f>
      </x:c>
      <x:c r="G15" t="str">
        <x:f>IF(F15="","",IF(F15&gt;=80,"Alta",IF(F15&gt;=40,"Média","Baixa")))</x:f>
      </x:c>
    </x:row>
    <x:row r="16">
      <x:c r="A16" t="str">
        <x:f>IF('G2_NECESS'!A16="","",'G2_NECESS'!A16)</x:f>
        <x:v>N07</x:v>
      </x:c>
      <x:c r="B16" t="str">
        <x:f>IF('G2_NECESS'!B16="","",'G2_NECESS'!B16)</x:f>
      </x:c>
      <x:c r="C16" t="str"/>
      <x:c r="D16" t="str"/>
      <x:c r="E16" t="str"/>
      <x:c r="F16" t="str">
        <x:f>IF(B16="","",IFERROR(C16*D16*E16,""))</x:f>
      </x:c>
      <x:c r="G16" t="str">
        <x:f>IF(F16="","",IF(F16&gt;=80,"Alta",IF(F16&gt;=40,"Média","Baixa")))</x:f>
      </x:c>
    </x:row>
    <x:row r="17">
      <x:c r="A17" t="str">
        <x:f>IF('G2_NECESS'!A17="","",'G2_NECESS'!A17)</x:f>
        <x:v>N08</x:v>
      </x:c>
      <x:c r="B17" t="str">
        <x:f>IF('G2_NECESS'!B17="","",'G2_NECESS'!B17)</x:f>
      </x:c>
      <x:c r="C17" t="str"/>
      <x:c r="D17" t="str"/>
      <x:c r="E17" t="str"/>
      <x:c r="F17" t="str">
        <x:f>IF(B17="","",IFERROR(C17*D17*E17,""))</x:f>
      </x:c>
      <x:c r="G17" t="str">
        <x:f>IF(F17="","",IF(F17&gt;=80,"Alta",IF(F17&gt;=40,"Média","Baixa")))</x:f>
      </x:c>
    </x:row>
    <x:row r="18">
      <x:c r="A18" t="str">
        <x:f>IF('G2_NECESS'!A18="","",'G2_NECESS'!A18)</x:f>
        <x:v>N09</x:v>
      </x:c>
      <x:c r="B18" t="str">
        <x:f>IF('G2_NECESS'!B18="","",'G2_NECESS'!B18)</x:f>
      </x:c>
      <x:c r="C18" t="str"/>
      <x:c r="D18" t="str"/>
      <x:c r="E18" t="str"/>
      <x:c r="F18" t="str">
        <x:f>IF(B18="","",IFERROR(C18*D18*E18,""))</x:f>
      </x:c>
      <x:c r="G18" t="str">
        <x:f>IF(F18="","",IF(F18&gt;=80,"Alta",IF(F18&gt;=40,"Média","Baixa")))</x:f>
      </x:c>
    </x:row>
    <x:row r="19">
      <x:c r="A19" t="str">
        <x:f>IF('G2_NECESS'!A19="","",'G2_NECESS'!A19)</x:f>
        <x:v>N10</x:v>
      </x:c>
      <x:c r="B19" t="str">
        <x:f>IF('G2_NECESS'!B19="","",'G2_NECESS'!B19)</x:f>
      </x:c>
      <x:c r="C19" t="str"/>
      <x:c r="D19" t="str"/>
      <x:c r="E19" t="str"/>
      <x:c r="F19" t="str">
        <x:f>IF(B19="","",IFERROR(C19*D19*E19,""))</x:f>
      </x:c>
      <x:c r="G19" t="str">
        <x:f>IF(F19="","",IF(F19&gt;=80,"Alta",IF(F19&gt;=40,"Média","Baixa")))</x:f>
      </x:c>
    </x:row>
    <x:row r="20">
      <x:c r="A20" t="str">
        <x:f>IF('G2_NECESS'!A20="","",'G2_NECESS'!A20)</x:f>
        <x:v>N11</x:v>
      </x:c>
      <x:c r="B20" t="str">
        <x:f>IF('G2_NECESS'!B20="","",'G2_NECESS'!B20)</x:f>
      </x:c>
      <x:c r="C20" t="str"/>
      <x:c r="D20" t="str"/>
      <x:c r="E20" t="str"/>
      <x:c r="F20" t="str">
        <x:f>IF(B20="","",IFERROR(C20*D20*E20,""))</x:f>
      </x:c>
      <x:c r="G20" t="str">
        <x:f>IF(F20="","",IF(F20&gt;=80,"Alta",IF(F20&gt;=40,"Média","Baixa")))</x:f>
      </x:c>
    </x:row>
    <x:row r="21">
      <x:c r="A21" t="str">
        <x:f>IF('G2_NECESS'!A21="","",'G2_NECESS'!A21)</x:f>
        <x:v>N12</x:v>
      </x:c>
      <x:c r="B21" t="str">
        <x:f>IF('G2_NECESS'!B21="","",'G2_NECESS'!B21)</x:f>
      </x:c>
      <x:c r="C21" t="str"/>
      <x:c r="D21" t="str"/>
      <x:c r="E21" t="str"/>
      <x:c r="F21" t="str">
        <x:f>IF(B21="","",IFERROR(C21*D21*E21,""))</x:f>
      </x:c>
      <x:c r="G21" t="str">
        <x:f>IF(F21="","",IF(F21&gt;=80,"Alta",IF(F21&gt;=40,"Média","Baixa")))</x:f>
      </x:c>
    </x:row>
    <x:row r="22">
      <x:c r="A22" t="str">
        <x:f>IF('G2_NECESS'!A22="","",'G2_NECESS'!A22)</x:f>
        <x:v>N13</x:v>
      </x:c>
      <x:c r="B22" t="str">
        <x:f>IF('G2_NECESS'!B22="","",'G2_NECESS'!B22)</x:f>
      </x:c>
      <x:c r="C22" t="str"/>
      <x:c r="D22" t="str"/>
      <x:c r="E22" t="str"/>
      <x:c r="F22" t="str">
        <x:f>IF(B22="","",IFERROR(C22*D22*E22,""))</x:f>
      </x:c>
      <x:c r="G22" t="str">
        <x:f>IF(F22="","",IF(F22&gt;=80,"Alta",IF(F22&gt;=40,"Média","Baixa")))</x:f>
      </x:c>
    </x:row>
    <x:row r="23">
      <x:c r="A23" t="str">
        <x:f>IF('G2_NECESS'!A23="","",'G2_NECESS'!A23)</x:f>
        <x:v>N14</x:v>
      </x:c>
      <x:c r="B23" t="str">
        <x:f>IF('G2_NECESS'!B23="","",'G2_NECESS'!B23)</x:f>
      </x:c>
      <x:c r="C23" t="str"/>
      <x:c r="D23" t="str"/>
      <x:c r="E23" t="str"/>
      <x:c r="F23" t="str">
        <x:f>IF(B23="","",IFERROR(C23*D23*E23,""))</x:f>
      </x:c>
      <x:c r="G23" t="str">
        <x:f>IF(F23="","",IF(F23&gt;=80,"Alta",IF(F23&gt;=40,"Média","Baixa")))</x:f>
      </x:c>
    </x:row>
    <x:row r="24">
      <x:c r="A24" t="str">
        <x:f>IF('G2_NECESS'!A24="","",'G2_NECESS'!A24)</x:f>
        <x:v>N15</x:v>
      </x:c>
      <x:c r="B24" t="str">
        <x:f>IF('G2_NECESS'!B24="","",'G2_NECESS'!B24)</x:f>
      </x:c>
      <x:c r="C24" t="str"/>
      <x:c r="D24" t="str"/>
      <x:c r="E24" t="str"/>
      <x:c r="F24" t="str">
        <x:f>IF(B24="","",IFERROR(C24*D24*E24,""))</x:f>
      </x:c>
      <x:c r="G24" t="str">
        <x:f>IF(F24="","",IF(F24&gt;=80,"Alta",IF(F24&gt;=40,"Média","Baixa")))</x:f>
      </x:c>
    </x:row>
    <x:row r="25">
      <x:c r="A25" t="str">
        <x:f>IF('G2_NECESS'!A25="","",'G2_NECESS'!A25)</x:f>
        <x:v>N16</x:v>
      </x:c>
      <x:c r="B25" t="str">
        <x:f>IF('G2_NECESS'!B25="","",'G2_NECESS'!B25)</x:f>
      </x:c>
      <x:c r="C25" t="str"/>
      <x:c r="D25" t="str"/>
      <x:c r="E25" t="str"/>
      <x:c r="F25" t="str">
        <x:f>IF(B25="","",IFERROR(C25*D25*E25,""))</x:f>
      </x:c>
      <x:c r="G25" t="str">
        <x:f>IF(F25="","",IF(F25&gt;=80,"Alta",IF(F25&gt;=40,"Média","Baixa")))</x:f>
      </x:c>
    </x:row>
    <x:row r="26">
      <x:c r="A26" t="str">
        <x:f>IF('G2_NECESS'!A26="","",'G2_NECESS'!A26)</x:f>
        <x:v>N17</x:v>
      </x:c>
      <x:c r="B26" t="str">
        <x:f>IF('G2_NECESS'!B26="","",'G2_NECESS'!B26)</x:f>
      </x:c>
      <x:c r="C26" t="str"/>
      <x:c r="D26" t="str"/>
      <x:c r="E26" t="str"/>
      <x:c r="F26" t="str">
        <x:f>IF(B26="","",IFERROR(C26*D26*E26,""))</x:f>
      </x:c>
      <x:c r="G26" t="str">
        <x:f>IF(F26="","",IF(F26&gt;=80,"Alta",IF(F26&gt;=40,"Média","Baixa")))</x:f>
      </x:c>
    </x:row>
    <x:row r="27">
      <x:c r="A27" t="str">
        <x:f>IF('G2_NECESS'!A27="","",'G2_NECESS'!A27)</x:f>
        <x:v>N18</x:v>
      </x:c>
      <x:c r="B27" t="str">
        <x:f>IF('G2_NECESS'!B27="","",'G2_NECESS'!B27)</x:f>
      </x:c>
      <x:c r="C27" t="str"/>
      <x:c r="D27" t="str"/>
      <x:c r="E27" t="str"/>
      <x:c r="F27" t="str">
        <x:f>IF(B27="","",IFERROR(C27*D27*E27,""))</x:f>
      </x:c>
      <x:c r="G27" t="str">
        <x:f>IF(F27="","",IF(F27&gt;=80,"Alta",IF(F27&gt;=40,"Média","Baixa")))</x:f>
      </x:c>
    </x:row>
    <x:row r="28">
      <x:c r="A28" t="str">
        <x:f>IF('G2_NECESS'!A28="","",'G2_NECESS'!A28)</x:f>
        <x:v>N19</x:v>
      </x:c>
      <x:c r="B28" t="str">
        <x:f>IF('G2_NECESS'!B28="","",'G2_NECESS'!B28)</x:f>
      </x:c>
      <x:c r="C28" t="str"/>
      <x:c r="D28" t="str"/>
      <x:c r="E28" t="str"/>
      <x:c r="F28" t="str">
        <x:f>IF(B28="","",IFERROR(C28*D28*E28,""))</x:f>
      </x:c>
      <x:c r="G28" t="str">
        <x:f>IF(F28="","",IF(F28&gt;=80,"Alta",IF(F28&gt;=40,"Média","Baixa")))</x:f>
      </x:c>
    </x:row>
    <x:row r="29">
      <x:c r="A29" t="str">
        <x:f>IF('G2_NECESS'!A29="","",'G2_NECESS'!A29)</x:f>
        <x:v>N20</x:v>
      </x:c>
      <x:c r="B29" t="str">
        <x:f>IF('G2_NECESS'!B29="","",'G2_NECESS'!B29)</x:f>
      </x:c>
      <x:c r="C29" t="str"/>
      <x:c r="D29" t="str"/>
      <x:c r="E29" t="str"/>
      <x:c r="F29" t="str">
        <x:f>IF(B29="","",IFERROR(C29*D29*E29,""))</x:f>
      </x:c>
      <x:c r="G29" t="str">
        <x:f>IF(F29="","",IF(F29&gt;=80,"Alta",IF(F29&gt;=40,"Média","Baixa")))</x:f>
      </x:c>
    </x:row>
  </x:sheetData>
  <x:mergeCells>
    <x:mergeCell ref="A1:H1"/>
    <x:mergeCell ref="A2:H2"/>
    <x:mergeCell ref="A8:G8"/>
  </x:mergeCells>
  <x:dataValidations count="2">
    <x:dataValidation type="list" sqref="H5">
      <x:formula1>"Não iniciado,Em preenchimento,Em revisão,Concluído"</x:formula1>
    </x:dataValidation>
    <x:dataValidation type="list" sqref="C10:E29">
      <x:formula1>"1,2,3,4,5"</x:formula1>
    </x:dataValidation>
  </x:dataValidations>
  <x:pageMargins left="0.7" right="0.7" top="0.75" bottom="0.75" header="0.3" footer="0.3"/>
</x:worksheet>
</file>

<file path=xl/worksheets/sheet26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38" hidden="0" customWidth="1"/>
    <x:col min="3" max="3" width="28" hidden="0" customWidth="1"/>
    <x:col min="4" max="4" width="42" hidden="0" customWidth="1"/>
    <x:col min="5" max="5" width="18" hidden="0" customWidth="1"/>
    <x:col min="6" max="6" width="16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</x:cols>
  <x:sheetData>
    <x:row r="1">
      <x:c r="A1" s="4" t="str">
        <x:v>Uso pretendido preliminar</x:v>
      </x:c>
      <x:c r="B1" s="4"/>
      <x:c r="C1" s="4"/>
      <x:c r="D1" s="4"/>
      <x:c r="E1" s="4"/>
      <x:c r="F1" s="4"/>
      <x:c r="G1" s="4"/>
      <x:c r="H1" s="4"/>
    </x:row>
    <x:row r="2">
      <x:c r="A2" s="11" t="str">
        <x:v>Ferramenta do ciclo de idealização até conceito aprovado. Preencha somente quando aplicável ao produto.</x:v>
      </x:c>
      <x:c r="B2" s="11"/>
      <x:c r="C2" s="11"/>
      <x:c r="D2" s="11"/>
      <x:c r="E2" s="11"/>
      <x:c r="F2" s="11"/>
      <x:c r="G2" s="11"/>
      <x:c r="H2" s="11"/>
    </x:row>
    <x:row r="3">
      <x:c r="A3" s="58" t="str">
        <x:v>Código</x:v>
      </x:c>
      <x:c r="B3" s="32" t="str">
        <x:v>G2_USO</x:v>
      </x:c>
      <x:c r="C3" s="32" t="str"/>
      <x:c r="D3" s="58" t="str">
        <x:v>Gate</x:v>
      </x:c>
      <x:c r="E3" s="32" t="str">
        <x:v>Gate 2 — Estratégia e Requisitos</x:v>
      </x:c>
      <x:c r="F3" s="32" t="str"/>
      <x:c r="G3" s="58" t="str">
        <x:v>Tipo</x:v>
      </x:c>
      <x:c r="H3" s="32" t="str">
        <x:v>Regulatório</x:v>
      </x:c>
    </x:row>
    <x:row r="4">
      <x:c r="A4" s="58" t="str">
        <x:v>Propósito</x:v>
      </x:c>
      <x:c r="B4" s="32" t="str">
        <x:v>Definir finalidade clínica inicial</x:v>
      </x:c>
      <x:c r="C4" s="32" t="str"/>
      <x:c r="D4" s="58" t="str">
        <x:v>Quando usar</x:v>
      </x:c>
      <x:c r="E4" s="32" t="str">
        <x:v>Conforme pacote inteligente / Mapa_Selecao</x:v>
      </x:c>
      <x:c r="F4" s="32" t="str"/>
      <x:c r="G4" s="58" t="str">
        <x:v>Observações</x:v>
      </x:c>
      <x:c r="H4" s="32" t="str">
        <x:v>Não substitui projeto detalhado; registra hipóteses, alertas e incertezas.</x:v>
      </x:c>
    </x:row>
    <x:row r="5">
      <x:c r="A5" s="58" t="str">
        <x:v>Produto</x:v>
      </x:c>
      <x:c r="B5" s="32" t="str">
        <x:f>IF(Dashboard!B4="","",Dashboard!B4)</x:f>
      </x:c>
      <x:c r="C5" s="32" t="str"/>
      <x:c r="D5" s="58" t="str">
        <x:v>Responsável</x:v>
      </x:c>
      <x:c r="E5" s="32" t="str">
        <x:f>IF(Dashboard!B6="","",Dashboard!B6)</x:f>
      </x:c>
      <x:c r="F5" s="32" t="str"/>
      <x:c r="G5" s="58" t="str">
        <x:v>Status</x:v>
      </x:c>
      <x:c r="H5" s="32" t="str"/>
    </x:row>
    <x:row r="6">
      <x:c r="A6" s="61" t="e">
        <x:f>HYPERLINK("#'Dashboard'!A1","← Dashboard")</x:f>
      </x:c>
      <x:c r="B6" s="61" t="e">
        <x:f>HYPERLINK("#'Indice'!A1","Índice")</x:f>
      </x:c>
      <x:c r="C6" s="61" t="e">
        <x:f>HYPERLINK("#'Mapa_Selecao'!A1","Mapa de seleção")</x:f>
      </x:c>
    </x:row>
    <x:row r="8">
      <x:c r="A8" s="66" t="str">
        <x:v>Formulário de aplicação da ferramenta</x:v>
      </x:c>
      <x:c r="B8" s="66"/>
      <x:c r="C8" s="66"/>
      <x:c r="D8" s="66"/>
      <x:c r="E8" s="66"/>
      <x:c r="F8" s="66"/>
    </x:row>
    <x:row r="9">
      <x:c r="A9" s="20" t="str">
        <x:v>Item</x:v>
      </x:c>
      <x:c r="B9" s="20" t="str">
        <x:v>Pergunta / campo</x:v>
      </x:c>
      <x:c r="C9" s="20" t="str">
        <x:v>Resposta</x:v>
      </x:c>
      <x:c r="D9" s="20" t="str">
        <x:v>Evidência / observação</x:v>
      </x:c>
      <x:c r="E9" s="20" t="str">
        <x:v>Responsável</x:v>
      </x:c>
      <x:c r="F9" s="20" t="str">
        <x:v>Status</x:v>
      </x:c>
    </x:row>
    <x:row r="10">
      <x:c r="A10" s="32" t="str">
        <x:v>1</x:v>
      </x:c>
      <x:c r="B10" s="32" t="str">
        <x:v>Qual é o objetivo desta ferramenta para este produto?</x:v>
      </x:c>
      <x:c r="C10" s="32" t="str"/>
      <x:c r="D10" s="32" t="str"/>
      <x:c r="E10" s="32" t="str"/>
      <x:c r="F10" s="32" t="str"/>
    </x:row>
    <x:row r="11">
      <x:c r="A11" s="32" t="str">
        <x:v>2</x:v>
      </x:c>
      <x:c r="B11" s="32" t="str">
        <x:v>Quais informações já estão disponíveis?</x:v>
      </x:c>
      <x:c r="C11" s="32" t="str"/>
      <x:c r="D11" s="32" t="str"/>
      <x:c r="E11" s="32" t="str"/>
      <x:c r="F11" s="32" t="str"/>
    </x:row>
    <x:row r="12">
      <x:c r="A12" s="32" t="str">
        <x:v>3</x:v>
      </x:c>
      <x:c r="B12" s="32" t="str">
        <x:v>Quais informações ainda estão pendentes?</x:v>
      </x:c>
      <x:c r="C12" s="32" t="str"/>
      <x:c r="D12" s="32" t="str"/>
      <x:c r="E12" s="32" t="str"/>
      <x:c r="F12" s="32" t="str"/>
    </x:row>
    <x:row r="13">
      <x:c r="A13" s="32" t="str">
        <x:v>4</x:v>
      </x:c>
      <x:c r="B13" s="32" t="str">
        <x:v>Quais achados impactam o conceito?</x:v>
      </x:c>
      <x:c r="C13" s="32" t="str"/>
      <x:c r="D13" s="32" t="str"/>
      <x:c r="E13" s="32" t="str"/>
      <x:c r="F13" s="32" t="str"/>
    </x:row>
    <x:row r="14">
      <x:c r="A14" s="32" t="str">
        <x:v>5</x:v>
      </x:c>
      <x:c r="B14" s="32" t="str">
        <x:v>Quais incertezas devem seguir para o próximo Gate?</x:v>
      </x:c>
      <x:c r="C14" s="32" t="str"/>
      <x:c r="D14" s="32" t="str"/>
      <x:c r="E14" s="32" t="str"/>
      <x:c r="F14" s="32" t="str"/>
    </x:row>
    <x:row r="15">
      <x:c r="A15" s="32"/>
      <x:c r="B15" s="32"/>
      <x:c r="C15" s="32"/>
      <x:c r="D15" s="32"/>
      <x:c r="E15" s="32"/>
      <x:c r="F15" s="32"/>
    </x:row>
    <x:row r="16">
      <x:c r="A16" s="32"/>
      <x:c r="B16" s="32"/>
      <x:c r="C16" s="32"/>
      <x:c r="D16" s="32"/>
      <x:c r="E16" s="32"/>
      <x:c r="F16" s="32"/>
    </x:row>
    <x:row r="17">
      <x:c r="A17" s="32"/>
      <x:c r="B17" s="32"/>
      <x:c r="C17" s="32"/>
      <x:c r="D17" s="32"/>
      <x:c r="E17" s="32"/>
      <x:c r="F17" s="32"/>
    </x:row>
    <x:row r="18">
      <x:c r="A18" s="32"/>
      <x:c r="B18" s="32"/>
      <x:c r="C18" s="32"/>
      <x:c r="D18" s="32"/>
      <x:c r="E18" s="32"/>
      <x:c r="F18" s="32"/>
    </x:row>
    <x:row r="19">
      <x:c r="A19" s="32"/>
      <x:c r="B19" s="32"/>
      <x:c r="C19" s="32"/>
      <x:c r="D19" s="32"/>
      <x:c r="E19" s="32"/>
      <x:c r="F19" s="32"/>
    </x:row>
    <x:row r="20">
      <x:c r="A20" s="32"/>
      <x:c r="B20" s="32"/>
      <x:c r="C20" s="32"/>
      <x:c r="D20" s="32"/>
      <x:c r="E20" s="32"/>
      <x:c r="F20" s="32"/>
    </x:row>
  </x:sheetData>
  <x:mergeCells>
    <x:mergeCell ref="A1:H1"/>
    <x:mergeCell ref="A2:H2"/>
    <x:mergeCell ref="A8:F8"/>
  </x:mergeCells>
  <x:dataValidations count="2">
    <x:dataValidation type="list" sqref="H5">
      <x:formula1>"Não iniciado,Em preenchimento,Em revisão,Concluído"</x:formula1>
    </x:dataValidation>
    <x:dataValidation type="list" sqref="F10:F20">
      <x:formula1>"Não iniciado,Em preenchimento,Concluído,N/A"</x:formula1>
    </x:dataValidation>
  </x:dataValidations>
  <x:pageMargins left="0.7" right="0.7" top="0.75" bottom="0.75" header="0.3" footer="0.3"/>
</x:worksheet>
</file>

<file path=xl/worksheets/sheet27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38" hidden="0" customWidth="1"/>
    <x:col min="3" max="3" width="28" hidden="0" customWidth="1"/>
    <x:col min="4" max="4" width="42" hidden="0" customWidth="1"/>
    <x:col min="5" max="5" width="18" hidden="0" customWidth="1"/>
    <x:col min="6" max="6" width="16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</x:cols>
  <x:sheetData>
    <x:row r="1">
      <x:c r="A1" s="4" t="str">
        <x:v>Perfil de usuário e ambiente</x:v>
      </x:c>
      <x:c r="B1" s="4"/>
      <x:c r="C1" s="4"/>
      <x:c r="D1" s="4"/>
      <x:c r="E1" s="4"/>
      <x:c r="F1" s="4"/>
      <x:c r="G1" s="4"/>
      <x:c r="H1" s="4"/>
    </x:row>
    <x:row r="2">
      <x:c r="A2" s="11" t="str">
        <x:v>Ferramenta do ciclo de idealização até conceito aprovado. Preencha somente quando aplicável ao produto.</x:v>
      </x:c>
      <x:c r="B2" s="11"/>
      <x:c r="C2" s="11"/>
      <x:c r="D2" s="11"/>
      <x:c r="E2" s="11"/>
      <x:c r="F2" s="11"/>
      <x:c r="G2" s="11"/>
      <x:c r="H2" s="11"/>
    </x:row>
    <x:row r="3">
      <x:c r="A3" s="58" t="str">
        <x:v>Código</x:v>
      </x:c>
      <x:c r="B3" s="32" t="str">
        <x:v>G2_USERAMB</x:v>
      </x:c>
      <x:c r="C3" s="32" t="str"/>
      <x:c r="D3" s="58" t="str">
        <x:v>Gate</x:v>
      </x:c>
      <x:c r="E3" s="32" t="str">
        <x:v>Gate 2 — Estratégia e Requisitos</x:v>
      </x:c>
      <x:c r="F3" s="32" t="str"/>
      <x:c r="G3" s="58" t="str">
        <x:v>Tipo</x:v>
      </x:c>
      <x:c r="H3" s="32" t="str">
        <x:v>Regulatório</x:v>
      </x:c>
    </x:row>
    <x:row r="4">
      <x:c r="A4" s="58" t="str">
        <x:v>Propósito</x:v>
      </x:c>
      <x:c r="B4" s="32" t="str">
        <x:v>Identificar quem usa e onde usa</x:v>
      </x:c>
      <x:c r="C4" s="32" t="str"/>
      <x:c r="D4" s="58" t="str">
        <x:v>Quando usar</x:v>
      </x:c>
      <x:c r="E4" s="32" t="str">
        <x:v>Conforme pacote inteligente / Mapa_Selecao</x:v>
      </x:c>
      <x:c r="F4" s="32" t="str"/>
      <x:c r="G4" s="58" t="str">
        <x:v>Observações</x:v>
      </x:c>
      <x:c r="H4" s="32" t="str">
        <x:v>Não substitui projeto detalhado; registra hipóteses, alertas e incertezas.</x:v>
      </x:c>
    </x:row>
    <x:row r="5">
      <x:c r="A5" s="58" t="str">
        <x:v>Produto</x:v>
      </x:c>
      <x:c r="B5" s="32" t="str">
        <x:f>IF(Dashboard!B4="","",Dashboard!B4)</x:f>
      </x:c>
      <x:c r="C5" s="32" t="str"/>
      <x:c r="D5" s="58" t="str">
        <x:v>Responsável</x:v>
      </x:c>
      <x:c r="E5" s="32" t="str">
        <x:f>IF(Dashboard!B6="","",Dashboard!B6)</x:f>
      </x:c>
      <x:c r="F5" s="32" t="str"/>
      <x:c r="G5" s="58" t="str">
        <x:v>Status</x:v>
      </x:c>
      <x:c r="H5" s="32" t="str"/>
    </x:row>
    <x:row r="6">
      <x:c r="A6" s="61" t="e">
        <x:f>HYPERLINK("#'Dashboard'!A1","← Dashboard")</x:f>
      </x:c>
      <x:c r="B6" s="61" t="e">
        <x:f>HYPERLINK("#'Indice'!A1","Índice")</x:f>
      </x:c>
      <x:c r="C6" s="61" t="e">
        <x:f>HYPERLINK("#'Mapa_Selecao'!A1","Mapa de seleção")</x:f>
      </x:c>
    </x:row>
    <x:row r="8">
      <x:c r="A8" s="66" t="str">
        <x:v>Formulário de aplicação da ferramenta</x:v>
      </x:c>
      <x:c r="B8" s="66"/>
      <x:c r="C8" s="66"/>
      <x:c r="D8" s="66"/>
      <x:c r="E8" s="66"/>
      <x:c r="F8" s="66"/>
    </x:row>
    <x:row r="9">
      <x:c r="A9" s="20" t="str">
        <x:v>Item</x:v>
      </x:c>
      <x:c r="B9" s="20" t="str">
        <x:v>Pergunta / campo</x:v>
      </x:c>
      <x:c r="C9" s="20" t="str">
        <x:v>Resposta</x:v>
      </x:c>
      <x:c r="D9" s="20" t="str">
        <x:v>Evidência / observação</x:v>
      </x:c>
      <x:c r="E9" s="20" t="str">
        <x:v>Responsável</x:v>
      </x:c>
      <x:c r="F9" s="20" t="str">
        <x:v>Status</x:v>
      </x:c>
    </x:row>
    <x:row r="10">
      <x:c r="A10" s="32" t="str">
        <x:v>1</x:v>
      </x:c>
      <x:c r="B10" s="32" t="str">
        <x:v>Qual é o objetivo desta ferramenta para este produto?</x:v>
      </x:c>
      <x:c r="C10" s="32" t="str"/>
      <x:c r="D10" s="32" t="str"/>
      <x:c r="E10" s="32" t="str"/>
      <x:c r="F10" s="32" t="str"/>
    </x:row>
    <x:row r="11">
      <x:c r="A11" s="32" t="str">
        <x:v>2</x:v>
      </x:c>
      <x:c r="B11" s="32" t="str">
        <x:v>Quais informações já estão disponíveis?</x:v>
      </x:c>
      <x:c r="C11" s="32" t="str"/>
      <x:c r="D11" s="32" t="str"/>
      <x:c r="E11" s="32" t="str"/>
      <x:c r="F11" s="32" t="str"/>
    </x:row>
    <x:row r="12">
      <x:c r="A12" s="32" t="str">
        <x:v>3</x:v>
      </x:c>
      <x:c r="B12" s="32" t="str">
        <x:v>Quais informações ainda estão pendentes?</x:v>
      </x:c>
      <x:c r="C12" s="32" t="str"/>
      <x:c r="D12" s="32" t="str"/>
      <x:c r="E12" s="32" t="str"/>
      <x:c r="F12" s="32" t="str"/>
    </x:row>
    <x:row r="13">
      <x:c r="A13" s="32" t="str">
        <x:v>4</x:v>
      </x:c>
      <x:c r="B13" s="32" t="str">
        <x:v>Quais achados impactam o conceito?</x:v>
      </x:c>
      <x:c r="C13" s="32" t="str"/>
      <x:c r="D13" s="32" t="str"/>
      <x:c r="E13" s="32" t="str"/>
      <x:c r="F13" s="32" t="str"/>
    </x:row>
    <x:row r="14">
      <x:c r="A14" s="32" t="str">
        <x:v>5</x:v>
      </x:c>
      <x:c r="B14" s="32" t="str">
        <x:v>Quais incertezas devem seguir para o próximo Gate?</x:v>
      </x:c>
      <x:c r="C14" s="32" t="str"/>
      <x:c r="D14" s="32" t="str"/>
      <x:c r="E14" s="32" t="str"/>
      <x:c r="F14" s="32" t="str"/>
    </x:row>
    <x:row r="15">
      <x:c r="A15" s="32"/>
      <x:c r="B15" s="32"/>
      <x:c r="C15" s="32"/>
      <x:c r="D15" s="32"/>
      <x:c r="E15" s="32"/>
      <x:c r="F15" s="32"/>
    </x:row>
    <x:row r="16">
      <x:c r="A16" s="32"/>
      <x:c r="B16" s="32"/>
      <x:c r="C16" s="32"/>
      <x:c r="D16" s="32"/>
      <x:c r="E16" s="32"/>
      <x:c r="F16" s="32"/>
    </x:row>
    <x:row r="17">
      <x:c r="A17" s="32"/>
      <x:c r="B17" s="32"/>
      <x:c r="C17" s="32"/>
      <x:c r="D17" s="32"/>
      <x:c r="E17" s="32"/>
      <x:c r="F17" s="32"/>
    </x:row>
    <x:row r="18">
      <x:c r="A18" s="32"/>
      <x:c r="B18" s="32"/>
      <x:c r="C18" s="32"/>
      <x:c r="D18" s="32"/>
      <x:c r="E18" s="32"/>
      <x:c r="F18" s="32"/>
    </x:row>
    <x:row r="19">
      <x:c r="A19" s="32"/>
      <x:c r="B19" s="32"/>
      <x:c r="C19" s="32"/>
      <x:c r="D19" s="32"/>
      <x:c r="E19" s="32"/>
      <x:c r="F19" s="32"/>
    </x:row>
    <x:row r="20">
      <x:c r="A20" s="32"/>
      <x:c r="B20" s="32"/>
      <x:c r="C20" s="32"/>
      <x:c r="D20" s="32"/>
      <x:c r="E20" s="32"/>
      <x:c r="F20" s="32"/>
    </x:row>
  </x:sheetData>
  <x:mergeCells>
    <x:mergeCell ref="A1:H1"/>
    <x:mergeCell ref="A2:H2"/>
    <x:mergeCell ref="A8:F8"/>
  </x:mergeCells>
  <x:dataValidations count="2">
    <x:dataValidation type="list" sqref="H5">
      <x:formula1>"Não iniciado,Em preenchimento,Em revisão,Concluído"</x:formula1>
    </x:dataValidation>
    <x:dataValidation type="list" sqref="F10:F20">
      <x:formula1>"Não iniciado,Em preenchimento,Concluído,N/A"</x:formula1>
    </x:dataValidation>
  </x:dataValidations>
  <x:pageMargins left="0.7" right="0.7" top="0.75" bottom="0.75" header="0.3" footer="0.3"/>
</x:worksheet>
</file>

<file path=xl/worksheets/sheet28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42" hidden="0" customWidth="1"/>
    <x:col min="3" max="3" width="14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18" hidden="0" customWidth="1"/>
    <x:col min="13" max="13" width="30" hidden="0" customWidth="1"/>
    <x:col min="14" max="14" width="18" hidden="0" customWidth="1"/>
  </x:cols>
  <x:sheetData>
    <x:row r="1">
      <x:c r="A1" s="4" t="str">
        <x:v>QFD conceitual — nível 1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4"/>
      <x:c r="N1" s="4"/>
    </x:row>
    <x:row r="2">
      <x:c r="A2" s="11" t="str">
        <x:v>Ferramenta do ciclo de idealização até conceito aprovado. Preencha somente quando aplicável ao produto.</x:v>
      </x:c>
      <x:c r="B2" s="11"/>
      <x:c r="C2" s="11"/>
      <x:c r="D2" s="11"/>
      <x:c r="E2" s="11"/>
      <x:c r="F2" s="11"/>
      <x:c r="G2" s="11"/>
      <x:c r="H2" s="11"/>
      <x:c r="I2" s="11"/>
      <x:c r="J2" s="11"/>
      <x:c r="K2" s="11"/>
      <x:c r="L2" s="11"/>
      <x:c r="M2" s="11"/>
      <x:c r="N2" s="11"/>
    </x:row>
    <x:row r="3">
      <x:c r="A3" s="58" t="str">
        <x:v>Código</x:v>
      </x:c>
      <x:c r="B3" s="32" t="str">
        <x:v>G2_QFD</x:v>
      </x:c>
      <x:c r="C3" s="32" t="str"/>
      <x:c r="D3" s="58" t="str">
        <x:v>Gate</x:v>
      </x:c>
      <x:c r="E3" s="32" t="str">
        <x:v>Gate 2 — Estratégia e Requisitos</x:v>
      </x:c>
      <x:c r="F3" s="32" t="str"/>
      <x:c r="G3" s="58" t="str">
        <x:v>Tipo</x:v>
      </x:c>
      <x:c r="H3" s="32" t="str">
        <x:v>Requisitos</x:v>
      </x:c>
    </x:row>
    <x:row r="4">
      <x:c r="A4" s="58" t="str">
        <x:v>Propósito</x:v>
      </x:c>
      <x:c r="B4" s="32" t="str">
        <x:v>Traduzir necessidades em requisitos conceituais</x:v>
      </x:c>
      <x:c r="C4" s="32" t="str"/>
      <x:c r="D4" s="58" t="str">
        <x:v>Quando usar</x:v>
      </x:c>
      <x:c r="E4" s="32" t="str">
        <x:v>Conforme pacote inteligente / Mapa_Selecao</x:v>
      </x:c>
      <x:c r="F4" s="32" t="str"/>
      <x:c r="G4" s="58" t="str">
        <x:v>Observações</x:v>
      </x:c>
      <x:c r="H4" s="32" t="str">
        <x:v>Não substitui projeto detalhado; registra hipóteses, alertas e incertezas.</x:v>
      </x:c>
    </x:row>
    <x:row r="5">
      <x:c r="A5" s="58" t="str">
        <x:v>Produto</x:v>
      </x:c>
      <x:c r="B5" s="32" t="str">
        <x:f>IF(Dashboard!B4="","",Dashboard!B4)</x:f>
      </x:c>
      <x:c r="C5" s="32" t="str"/>
      <x:c r="D5" s="58" t="str">
        <x:v>Responsável</x:v>
      </x:c>
      <x:c r="E5" s="32" t="str">
        <x:f>IF(Dashboard!B6="","",Dashboard!B6)</x:f>
      </x:c>
      <x:c r="F5" s="32" t="str"/>
      <x:c r="G5" s="58" t="str">
        <x:v>Status</x:v>
      </x:c>
      <x:c r="H5" s="32" t="str"/>
    </x:row>
    <x:row r="6">
      <x:c r="A6" s="61" t="e">
        <x:f>HYPERLINK("#'Dashboard'!A1","← Dashboard")</x:f>
      </x:c>
      <x:c r="B6" s="61" t="e">
        <x:f>HYPERLINK("#'Indice'!A1","Índice")</x:f>
      </x:c>
      <x:c r="C6" s="61" t="e">
        <x:f>HYPERLINK("#'Mapa_Selecao'!A1","Mapa de seleção")</x:f>
      </x:c>
    </x:row>
    <x:row r="8">
      <x:c r="A8" s="66" t="str">
        <x:v>QFD conceitual — Casa da Qualidade simplificada</x:v>
      </x:c>
      <x:c r="B8" s="66" t="str"/>
      <x:c r="C8" s="66" t="str"/>
      <x:c r="D8" s="66" t="str"/>
      <x:c r="E8" s="66" t="str"/>
      <x:c r="F8" s="66" t="str"/>
      <x:c r="G8" s="66" t="str"/>
      <x:c r="H8" s="66" t="str"/>
      <x:c r="I8" s="66" t="str"/>
      <x:c r="J8" s="66" t="str"/>
      <x:c r="K8" s="66" t="str"/>
      <x:c r="L8" s="66" t="str"/>
      <x:c r="M8" s="66" t="str"/>
      <x:c r="N8" s="66" t="str"/>
    </x:row>
    <x:row r="9">
      <x:c r="A9" s="20" t="str">
        <x:v>ID</x:v>
      </x:c>
      <x:c r="B9" s="20" t="str">
        <x:v>Necessidade do usuário</x:v>
      </x:c>
      <x:c r="C9" s="20" t="str">
        <x:v>Importância</x:v>
      </x:c>
      <x:c r="D9" s="20" t="str">
        <x:v>REQ/CTQ 1</x:v>
      </x:c>
      <x:c r="E9" s="20" t="str">
        <x:v>REQ/CTQ 2</x:v>
      </x:c>
      <x:c r="F9" s="20" t="str">
        <x:v>REQ/CTQ 3</x:v>
      </x:c>
      <x:c r="G9" s="20" t="str">
        <x:v>REQ/CTQ 4</x:v>
      </x:c>
      <x:c r="H9" s="20" t="str">
        <x:v>REQ/CTQ 5</x:v>
      </x:c>
      <x:c r="I9" s="20" t="str">
        <x:v>REQ/CTQ 6</x:v>
      </x:c>
      <x:c r="J9" s="20" t="str">
        <x:v>REQ/CTQ 7</x:v>
      </x:c>
      <x:c r="K9" s="20" t="str">
        <x:v>REQ/CTQ 8</x:v>
      </x:c>
      <x:c r="L9" s="20" t="str">
        <x:v>Peso necessidade</x:v>
      </x:c>
      <x:c r="M9" s="20" t="str">
        <x:v>Observações</x:v>
      </x:c>
      <x:c r="N9" s="20" t="str">
        <x:v>Prioridade</x:v>
      </x:c>
    </x:row>
    <x:row r="10">
      <x:c r="A10" s="32"/>
      <x:c r="B10" s="32"/>
      <x:c r="C10" s="32"/>
      <x:c r="D10" s="77" t="str"/>
      <x:c r="E10" s="77" t="str"/>
      <x:c r="F10" s="77" t="str"/>
      <x:c r="G10" s="77" t="str"/>
      <x:c r="H10" s="77" t="str"/>
      <x:c r="I10" s="77" t="str"/>
      <x:c r="J10" s="77" t="str"/>
      <x:c r="K10" s="77" t="str"/>
      <x:c r="L10" s="32"/>
      <x:c r="M10" s="32"/>
      <x:c r="N10" s="32"/>
    </x:row>
    <x:row r="11">
      <x:c r="A11" s="32" t="str">
        <x:f>IF('G2_NECESS'!A10="","",'G2_NECESS'!A10)</x:f>
        <x:v>N01</x:v>
      </x:c>
      <x:c r="B11" s="32" t="str">
        <x:f>IF('G2_NECESS'!B10="","",'G2_NECESS'!B10)</x:f>
      </x:c>
      <x:c r="C11" s="32" t="str">
        <x:f>IF('G2_NECESS'!D10="","",'G2_NECESS'!D10)</x:f>
      </x:c>
      <x:c r="D11" s="32" t="str"/>
      <x:c r="E11" s="32" t="str"/>
      <x:c r="F11" s="32" t="str"/>
      <x:c r="G11" s="32" t="str"/>
      <x:c r="H11" s="32" t="str"/>
      <x:c r="I11" s="32" t="str"/>
      <x:c r="J11" s="32" t="str"/>
      <x:c r="K11" s="32" t="str"/>
      <x:c r="L11" s="32" t="str">
        <x:f>IF(B11="","",SUM(D11:K11)*C11)</x:f>
      </x:c>
      <x:c r="M11" s="32" t="str"/>
      <x:c r="N11" s="32" t="str"/>
    </x:row>
    <x:row r="12">
      <x:c r="A12" s="32" t="str">
        <x:f>IF('G2_NECESS'!A11="","",'G2_NECESS'!A11)</x:f>
        <x:v>N02</x:v>
      </x:c>
      <x:c r="B12" s="32" t="str">
        <x:f>IF('G2_NECESS'!B11="","",'G2_NECESS'!B11)</x:f>
      </x:c>
      <x:c r="C12" s="32" t="str">
        <x:f>IF('G2_NECESS'!D11="","",'G2_NECESS'!D11)</x:f>
      </x:c>
      <x:c r="D12" s="32" t="str"/>
      <x:c r="E12" s="32" t="str"/>
      <x:c r="F12" s="32" t="str"/>
      <x:c r="G12" s="32" t="str"/>
      <x:c r="H12" s="32" t="str"/>
      <x:c r="I12" s="32" t="str"/>
      <x:c r="J12" s="32" t="str"/>
      <x:c r="K12" s="32" t="str"/>
      <x:c r="L12" s="32" t="str">
        <x:f>IF(B12="","",SUM(D12:K12)*C12)</x:f>
      </x:c>
      <x:c r="M12" s="32" t="str"/>
      <x:c r="N12" s="32" t="str"/>
    </x:row>
    <x:row r="13">
      <x:c r="A13" s="32" t="str">
        <x:f>IF('G2_NECESS'!A12="","",'G2_NECESS'!A12)</x:f>
        <x:v>N03</x:v>
      </x:c>
      <x:c r="B13" s="32" t="str">
        <x:f>IF('G2_NECESS'!B12="","",'G2_NECESS'!B12)</x:f>
      </x:c>
      <x:c r="C13" s="32" t="str">
        <x:f>IF('G2_NECESS'!D12="","",'G2_NECESS'!D12)</x:f>
      </x:c>
      <x:c r="D13" s="32" t="str"/>
      <x:c r="E13" s="32" t="str"/>
      <x:c r="F13" s="32" t="str"/>
      <x:c r="G13" s="32" t="str"/>
      <x:c r="H13" s="32" t="str"/>
      <x:c r="I13" s="32" t="str"/>
      <x:c r="J13" s="32" t="str"/>
      <x:c r="K13" s="32" t="str"/>
      <x:c r="L13" s="32" t="str">
        <x:f>IF(B13="","",SUM(D13:K13)*C13)</x:f>
      </x:c>
      <x:c r="M13" s="32" t="str"/>
      <x:c r="N13" s="32" t="str"/>
    </x:row>
    <x:row r="14">
      <x:c r="A14" s="32" t="str">
        <x:f>IF('G2_NECESS'!A13="","",'G2_NECESS'!A13)</x:f>
        <x:v>N04</x:v>
      </x:c>
      <x:c r="B14" s="32" t="str">
        <x:f>IF('G2_NECESS'!B13="","",'G2_NECESS'!B13)</x:f>
      </x:c>
      <x:c r="C14" s="32" t="str">
        <x:f>IF('G2_NECESS'!D13="","",'G2_NECESS'!D13)</x:f>
      </x:c>
      <x:c r="D14" s="32" t="str"/>
      <x:c r="E14" s="32" t="str"/>
      <x:c r="F14" s="32" t="str"/>
      <x:c r="G14" s="32" t="str"/>
      <x:c r="H14" s="32" t="str"/>
      <x:c r="I14" s="32" t="str"/>
      <x:c r="J14" s="32" t="str"/>
      <x:c r="K14" s="32" t="str"/>
      <x:c r="L14" s="32" t="str">
        <x:f>IF(B14="","",SUM(D14:K14)*C14)</x:f>
      </x:c>
      <x:c r="M14" s="32" t="str"/>
      <x:c r="N14" s="32" t="str"/>
    </x:row>
    <x:row r="15">
      <x:c r="A15" s="32" t="str">
        <x:f>IF('G2_NECESS'!A14="","",'G2_NECESS'!A14)</x:f>
        <x:v>N05</x:v>
      </x:c>
      <x:c r="B15" s="32" t="str">
        <x:f>IF('G2_NECESS'!B14="","",'G2_NECESS'!B14)</x:f>
      </x:c>
      <x:c r="C15" s="32" t="str">
        <x:f>IF('G2_NECESS'!D14="","",'G2_NECESS'!D14)</x:f>
      </x:c>
      <x:c r="D15" s="32" t="str"/>
      <x:c r="E15" s="32" t="str"/>
      <x:c r="F15" s="32" t="str"/>
      <x:c r="G15" s="32" t="str"/>
      <x:c r="H15" s="32" t="str"/>
      <x:c r="I15" s="32" t="str"/>
      <x:c r="J15" s="32" t="str"/>
      <x:c r="K15" s="32" t="str"/>
      <x:c r="L15" s="32" t="str">
        <x:f>IF(B15="","",SUM(D15:K15)*C15)</x:f>
      </x:c>
      <x:c r="M15" s="32" t="str"/>
      <x:c r="N15" s="32" t="str"/>
    </x:row>
    <x:row r="16">
      <x:c r="A16" s="32" t="str">
        <x:f>IF('G2_NECESS'!A15="","",'G2_NECESS'!A15)</x:f>
        <x:v>N06</x:v>
      </x:c>
      <x:c r="B16" s="32" t="str">
        <x:f>IF('G2_NECESS'!B15="","",'G2_NECESS'!B15)</x:f>
      </x:c>
      <x:c r="C16" s="32" t="str">
        <x:f>IF('G2_NECESS'!D15="","",'G2_NECESS'!D15)</x:f>
      </x:c>
      <x:c r="D16" s="32" t="str"/>
      <x:c r="E16" s="32" t="str"/>
      <x:c r="F16" s="32" t="str"/>
      <x:c r="G16" s="32" t="str"/>
      <x:c r="H16" s="32" t="str"/>
      <x:c r="I16" s="32" t="str"/>
      <x:c r="J16" s="32" t="str"/>
      <x:c r="K16" s="32" t="str"/>
      <x:c r="L16" s="32" t="str">
        <x:f>IF(B16="","",SUM(D16:K16)*C16)</x:f>
      </x:c>
      <x:c r="M16" s="32" t="str"/>
      <x:c r="N16" s="32" t="str"/>
    </x:row>
    <x:row r="17">
      <x:c r="A17" s="32" t="str">
        <x:f>IF('G2_NECESS'!A16="","",'G2_NECESS'!A16)</x:f>
        <x:v>N07</x:v>
      </x:c>
      <x:c r="B17" s="32" t="str">
        <x:f>IF('G2_NECESS'!B16="","",'G2_NECESS'!B16)</x:f>
      </x:c>
      <x:c r="C17" s="32" t="str">
        <x:f>IF('G2_NECESS'!D16="","",'G2_NECESS'!D16)</x:f>
      </x:c>
      <x:c r="D17" s="32" t="str"/>
      <x:c r="E17" s="32" t="str"/>
      <x:c r="F17" s="32" t="str"/>
      <x:c r="G17" s="32" t="str"/>
      <x:c r="H17" s="32" t="str"/>
      <x:c r="I17" s="32" t="str"/>
      <x:c r="J17" s="32" t="str"/>
      <x:c r="K17" s="32" t="str"/>
      <x:c r="L17" s="32" t="str">
        <x:f>IF(B17="","",SUM(D17:K17)*C17)</x:f>
      </x:c>
      <x:c r="M17" s="32" t="str"/>
      <x:c r="N17" s="32" t="str"/>
    </x:row>
    <x:row r="18">
      <x:c r="A18" s="32" t="str">
        <x:f>IF('G2_NECESS'!A17="","",'G2_NECESS'!A17)</x:f>
        <x:v>N08</x:v>
      </x:c>
      <x:c r="B18" s="32" t="str">
        <x:f>IF('G2_NECESS'!B17="","",'G2_NECESS'!B17)</x:f>
      </x:c>
      <x:c r="C18" s="32" t="str">
        <x:f>IF('G2_NECESS'!D17="","",'G2_NECESS'!D17)</x:f>
      </x:c>
      <x:c r="D18" s="32" t="str"/>
      <x:c r="E18" s="32" t="str"/>
      <x:c r="F18" s="32" t="str"/>
      <x:c r="G18" s="32" t="str"/>
      <x:c r="H18" s="32" t="str"/>
      <x:c r="I18" s="32" t="str"/>
      <x:c r="J18" s="32" t="str"/>
      <x:c r="K18" s="32" t="str"/>
      <x:c r="L18" s="32" t="str">
        <x:f>IF(B18="","",SUM(D18:K18)*C18)</x:f>
      </x:c>
      <x:c r="M18" s="32" t="str"/>
      <x:c r="N18" s="32" t="str"/>
    </x:row>
    <x:row r="19">
      <x:c r="A19" s="32" t="str">
        <x:f>IF('G2_NECESS'!A18="","",'G2_NECESS'!A18)</x:f>
        <x:v>N09</x:v>
      </x:c>
      <x:c r="B19" s="32" t="str">
        <x:f>IF('G2_NECESS'!B18="","",'G2_NECESS'!B18)</x:f>
      </x:c>
      <x:c r="C19" s="32" t="str">
        <x:f>IF('G2_NECESS'!D18="","",'G2_NECESS'!D18)</x:f>
      </x:c>
      <x:c r="D19" s="32" t="str"/>
      <x:c r="E19" s="32" t="str"/>
      <x:c r="F19" s="32" t="str"/>
      <x:c r="G19" s="32" t="str"/>
      <x:c r="H19" s="32" t="str"/>
      <x:c r="I19" s="32" t="str"/>
      <x:c r="J19" s="32" t="str"/>
      <x:c r="K19" s="32" t="str"/>
      <x:c r="L19" s="32" t="str">
        <x:f>IF(B19="","",SUM(D19:K19)*C19)</x:f>
      </x:c>
      <x:c r="M19" s="32" t="str"/>
      <x:c r="N19" s="32" t="str"/>
    </x:row>
    <x:row r="20">
      <x:c r="A20" s="32" t="str">
        <x:f>IF('G2_NECESS'!A19="","",'G2_NECESS'!A19)</x:f>
        <x:v>N10</x:v>
      </x:c>
      <x:c r="B20" s="32" t="str">
        <x:f>IF('G2_NECESS'!B19="","",'G2_NECESS'!B19)</x:f>
      </x:c>
      <x:c r="C20" s="32" t="str">
        <x:f>IF('G2_NECESS'!D19="","",'G2_NECESS'!D19)</x:f>
      </x:c>
      <x:c r="D20" s="32" t="str"/>
      <x:c r="E20" s="32" t="str"/>
      <x:c r="F20" s="32" t="str"/>
      <x:c r="G20" s="32" t="str"/>
      <x:c r="H20" s="32" t="str"/>
      <x:c r="I20" s="32" t="str"/>
      <x:c r="J20" s="32" t="str"/>
      <x:c r="K20" s="32" t="str"/>
      <x:c r="L20" s="32" t="str">
        <x:f>IF(B20="","",SUM(D20:K20)*C20)</x:f>
      </x:c>
      <x:c r="M20" s="32" t="str"/>
      <x:c r="N20" s="32" t="str"/>
    </x:row>
    <x:row r="21">
      <x:c r="A21" s="32" t="str">
        <x:f>IF('G2_NECESS'!A20="","",'G2_NECESS'!A20)</x:f>
        <x:v>N11</x:v>
      </x:c>
      <x:c r="B21" s="32" t="str">
        <x:f>IF('G2_NECESS'!B20="","",'G2_NECESS'!B20)</x:f>
      </x:c>
      <x:c r="C21" s="32" t="str">
        <x:f>IF('G2_NECESS'!D20="","",'G2_NECESS'!D20)</x:f>
      </x:c>
      <x:c r="D21" s="32" t="str"/>
      <x:c r="E21" s="32" t="str"/>
      <x:c r="F21" s="32" t="str"/>
      <x:c r="G21" s="32" t="str"/>
      <x:c r="H21" s="32" t="str"/>
      <x:c r="I21" s="32" t="str"/>
      <x:c r="J21" s="32" t="str"/>
      <x:c r="K21" s="32" t="str"/>
      <x:c r="L21" s="32" t="str">
        <x:f>IF(B21="","",SUM(D21:K21)*C21)</x:f>
      </x:c>
      <x:c r="M21" s="32" t="str"/>
      <x:c r="N21" s="32" t="str"/>
    </x:row>
    <x:row r="22">
      <x:c r="A22" s="32" t="str">
        <x:f>IF('G2_NECESS'!A21="","",'G2_NECESS'!A21)</x:f>
        <x:v>N12</x:v>
      </x:c>
      <x:c r="B22" s="32" t="str">
        <x:f>IF('G2_NECESS'!B21="","",'G2_NECESS'!B21)</x:f>
      </x:c>
      <x:c r="C22" s="32" t="str">
        <x:f>IF('G2_NECESS'!D21="","",'G2_NECESS'!D21)</x:f>
      </x:c>
      <x:c r="D22" s="32" t="str"/>
      <x:c r="E22" s="32" t="str"/>
      <x:c r="F22" s="32" t="str"/>
      <x:c r="G22" s="32" t="str"/>
      <x:c r="H22" s="32" t="str"/>
      <x:c r="I22" s="32" t="str"/>
      <x:c r="J22" s="32" t="str"/>
      <x:c r="K22" s="32" t="str"/>
      <x:c r="L22" s="32" t="str">
        <x:f>IF(B22="","",SUM(D22:K22)*C22)</x:f>
      </x:c>
      <x:c r="M22" s="32" t="str"/>
      <x:c r="N22" s="32" t="str"/>
    </x:row>
    <x:row r="23">
      <x:c r="A23" s="32" t="str">
        <x:f>IF('G2_NECESS'!A22="","",'G2_NECESS'!A22)</x:f>
        <x:v>N13</x:v>
      </x:c>
      <x:c r="B23" s="32" t="str">
        <x:f>IF('G2_NECESS'!B22="","",'G2_NECESS'!B22)</x:f>
      </x:c>
      <x:c r="C23" s="32" t="str">
        <x:f>IF('G2_NECESS'!D22="","",'G2_NECESS'!D22)</x:f>
      </x:c>
      <x:c r="D23" s="32" t="str"/>
      <x:c r="E23" s="32" t="str"/>
      <x:c r="F23" s="32" t="str"/>
      <x:c r="G23" s="32" t="str"/>
      <x:c r="H23" s="32" t="str"/>
      <x:c r="I23" s="32" t="str"/>
      <x:c r="J23" s="32" t="str"/>
      <x:c r="K23" s="32" t="str"/>
      <x:c r="L23" s="32" t="str">
        <x:f>IF(B23="","",SUM(D23:K23)*C23)</x:f>
      </x:c>
      <x:c r="M23" s="32" t="str"/>
      <x:c r="N23" s="32" t="str"/>
    </x:row>
    <x:row r="24">
      <x:c r="A24" s="32" t="str">
        <x:f>IF('G2_NECESS'!A23="","",'G2_NECESS'!A23)</x:f>
        <x:v>N14</x:v>
      </x:c>
      <x:c r="B24" s="32" t="str">
        <x:f>IF('G2_NECESS'!B23="","",'G2_NECESS'!B23)</x:f>
      </x:c>
      <x:c r="C24" s="32" t="str">
        <x:f>IF('G2_NECESS'!D23="","",'G2_NECESS'!D23)</x:f>
      </x:c>
      <x:c r="D24" s="32" t="str"/>
      <x:c r="E24" s="32" t="str"/>
      <x:c r="F24" s="32" t="str"/>
      <x:c r="G24" s="32" t="str"/>
      <x:c r="H24" s="32" t="str"/>
      <x:c r="I24" s="32" t="str"/>
      <x:c r="J24" s="32" t="str"/>
      <x:c r="K24" s="32" t="str"/>
      <x:c r="L24" s="32" t="str">
        <x:f>IF(B24="","",SUM(D24:K24)*C24)</x:f>
      </x:c>
      <x:c r="M24" s="32" t="str"/>
      <x:c r="N24" s="32" t="str"/>
    </x:row>
    <x:row r="25">
      <x:c r="A25" s="32" t="str">
        <x:f>IF('G2_NECESS'!A24="","",'G2_NECESS'!A24)</x:f>
        <x:v>N15</x:v>
      </x:c>
      <x:c r="B25" s="32" t="str">
        <x:f>IF('G2_NECESS'!B24="","",'G2_NECESS'!B24)</x:f>
      </x:c>
      <x:c r="C25" s="32" t="str">
        <x:f>IF('G2_NECESS'!D24="","",'G2_NECESS'!D24)</x:f>
      </x:c>
      <x:c r="D25" s="32" t="str"/>
      <x:c r="E25" s="32" t="str"/>
      <x:c r="F25" s="32" t="str"/>
      <x:c r="G25" s="32" t="str"/>
      <x:c r="H25" s="32" t="str"/>
      <x:c r="I25" s="32" t="str"/>
      <x:c r="J25" s="32" t="str"/>
      <x:c r="K25" s="32" t="str"/>
      <x:c r="L25" s="32" t="str">
        <x:f>IF(B25="","",SUM(D25:K25)*C25)</x:f>
      </x:c>
      <x:c r="M25" s="32" t="str"/>
      <x:c r="N25" s="32" t="str"/>
    </x:row>
    <x:row r="26">
      <x:c r="A26" s="32"/>
      <x:c r="B26" s="32"/>
      <x:c r="C26" s="32"/>
      <x:c r="D26" s="32"/>
      <x:c r="E26" s="32"/>
      <x:c r="F26" s="32"/>
      <x:c r="G26" s="32"/>
      <x:c r="H26" s="32"/>
      <x:c r="I26" s="32"/>
      <x:c r="J26" s="32"/>
      <x:c r="K26" s="32"/>
      <x:c r="L26" s="32"/>
      <x:c r="M26" s="32"/>
      <x:c r="N26" s="32"/>
    </x:row>
    <x:row r="27">
      <x:c r="A27" s="66" t="str">
        <x:v>Importância técnica</x:v>
      </x:c>
      <x:c r="B27" s="66" t="str"/>
      <x:c r="C27" s="66" t="str"/>
      <x:c r="D27" s="66" t="n">
        <x:f>SUMPRODUCT($C$11:$C$25,D$11:D$25)</x:f>
        <x:v>0</x:v>
      </x:c>
      <x:c r="E27" s="66" t="n">
        <x:f>SUMPRODUCT($C$11:$C$25,E$11:E$25)</x:f>
        <x:v>0</x:v>
      </x:c>
      <x:c r="F27" s="66" t="n">
        <x:f>SUMPRODUCT($C$11:$C$25,F$11:F$25)</x:f>
        <x:v>0</x:v>
      </x:c>
      <x:c r="G27" s="66" t="n">
        <x:f>SUMPRODUCT($C$11:$C$25,G$11:G$25)</x:f>
        <x:v>0</x:v>
      </x:c>
      <x:c r="H27" s="66" t="n">
        <x:f>SUMPRODUCT($C$11:$C$25,H$11:H$25)</x:f>
        <x:v>0</x:v>
      </x:c>
      <x:c r="I27" s="66" t="n">
        <x:f>SUMPRODUCT($C$11:$C$25,I$11:I$25)</x:f>
        <x:v>0</x:v>
      </x:c>
      <x:c r="J27" s="66" t="n">
        <x:f>SUMPRODUCT($C$11:$C$25,J$11:J$25)</x:f>
        <x:v>0</x:v>
      </x:c>
      <x:c r="K27" s="66" t="n">
        <x:f>SUMPRODUCT($C$11:$C$25,K$11:K$25)</x:f>
        <x:v>0</x:v>
      </x:c>
      <x:c r="L27" s="66"/>
      <x:c r="M27" s="66"/>
      <x:c r="N27" s="66"/>
    </x:row>
  </x:sheetData>
  <x:mergeCells>
    <x:mergeCell ref="A1:N1"/>
    <x:mergeCell ref="A2:N2"/>
    <x:mergeCell ref="A8:N8"/>
    <x:mergeCell ref="A27:C27"/>
  </x:mergeCells>
  <x:dataValidations count="2">
    <x:dataValidation type="list" sqref="H5">
      <x:formula1>"Não iniciado,Em preenchimento,Em revisão,Concluído"</x:formula1>
    </x:dataValidation>
    <x:dataValidation type="list" sqref="D11:K25">
      <x:formula1>",0,1,3,9"</x:formula1>
    </x:dataValidation>
  </x:dataValidations>
  <x:pageMargins left="0.7" right="0.7" top="0.75" bottom="0.75" header="0.3" footer="0.3"/>
</x:worksheet>
</file>

<file path=xl/worksheets/sheet29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34" hidden="0" customWidth="1"/>
    <x:col min="3" max="3" width="16" hidden="0" customWidth="1"/>
    <x:col min="4" max="4" width="14" hidden="0" customWidth="1"/>
    <x:col min="5" max="5" width="38" hidden="0" customWidth="1"/>
    <x:col min="6" max="6" width="38" hidden="0" customWidth="1"/>
    <x:col min="7" max="7" width="32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</x:cols>
  <x:sheetData>
    <x:row r="1">
      <x:c r="A1" s="4" t="str">
        <x:v>CTQ preliminar</x:v>
      </x:c>
      <x:c r="B1" s="4"/>
      <x:c r="C1" s="4"/>
      <x:c r="D1" s="4"/>
      <x:c r="E1" s="4"/>
      <x:c r="F1" s="4"/>
      <x:c r="G1" s="4"/>
      <x:c r="H1" s="4"/>
    </x:row>
    <x:row r="2">
      <x:c r="A2" s="11" t="str">
        <x:v>Ferramenta do ciclo de idealização até conceito aprovado. Preencha somente quando aplicável ao produto.</x:v>
      </x:c>
      <x:c r="B2" s="11"/>
      <x:c r="C2" s="11"/>
      <x:c r="D2" s="11"/>
      <x:c r="E2" s="11"/>
      <x:c r="F2" s="11"/>
      <x:c r="G2" s="11"/>
      <x:c r="H2" s="11"/>
    </x:row>
    <x:row r="3">
      <x:c r="A3" s="58" t="str">
        <x:v>Código</x:v>
      </x:c>
      <x:c r="B3" s="32" t="str">
        <x:v>G2_CTQ</x:v>
      </x:c>
      <x:c r="C3" s="32" t="str"/>
      <x:c r="D3" s="58" t="str">
        <x:v>Gate</x:v>
      </x:c>
      <x:c r="E3" s="32" t="str">
        <x:v>Gate 2 — Estratégia e Requisitos</x:v>
      </x:c>
      <x:c r="F3" s="32" t="str"/>
      <x:c r="G3" s="58" t="str">
        <x:v>Tipo</x:v>
      </x:c>
      <x:c r="H3" s="32" t="str">
        <x:v>Requisitos</x:v>
      </x:c>
    </x:row>
    <x:row r="4">
      <x:c r="A4" s="58" t="str">
        <x:v>Propósito</x:v>
      </x:c>
      <x:c r="B4" s="32" t="str">
        <x:v>Definir atributos críticos para o conceito</x:v>
      </x:c>
      <x:c r="C4" s="32" t="str"/>
      <x:c r="D4" s="58" t="str">
        <x:v>Quando usar</x:v>
      </x:c>
      <x:c r="E4" s="32" t="str">
        <x:v>Conforme pacote inteligente / Mapa_Selecao</x:v>
      </x:c>
      <x:c r="F4" s="32" t="str"/>
      <x:c r="G4" s="58" t="str">
        <x:v>Observações</x:v>
      </x:c>
      <x:c r="H4" s="32" t="str">
        <x:v>Não substitui projeto detalhado; registra hipóteses, alertas e incertezas.</x:v>
      </x:c>
    </x:row>
    <x:row r="5">
      <x:c r="A5" s="58" t="str">
        <x:v>Produto</x:v>
      </x:c>
      <x:c r="B5" s="32" t="str">
        <x:f>IF(Dashboard!B4="","",Dashboard!B4)</x:f>
      </x:c>
      <x:c r="C5" s="32" t="str"/>
      <x:c r="D5" s="58" t="str">
        <x:v>Responsável</x:v>
      </x:c>
      <x:c r="E5" s="32" t="str">
        <x:f>IF(Dashboard!B6="","",Dashboard!B6)</x:f>
      </x:c>
      <x:c r="F5" s="32" t="str"/>
      <x:c r="G5" s="58" t="str">
        <x:v>Status</x:v>
      </x:c>
      <x:c r="H5" s="32" t="str"/>
    </x:row>
    <x:row r="6">
      <x:c r="A6" s="61" t="e">
        <x:f>HYPERLINK("#'Dashboard'!A1","← Dashboard")</x:f>
      </x:c>
      <x:c r="B6" s="61" t="e">
        <x:f>HYPERLINK("#'Indice'!A1","Índice")</x:f>
      </x:c>
      <x:c r="C6" s="61" t="e">
        <x:f>HYPERLINK("#'Mapa_Selecao'!A1","Mapa de seleção")</x:f>
      </x:c>
    </x:row>
    <x:row r="8">
      <x:c r="A8" s="66" t="str">
        <x:v>CTQ — Critical to Quality em nível conceitual</x:v>
      </x:c>
      <x:c r="B8" s="66"/>
      <x:c r="C8" s="66"/>
      <x:c r="D8" s="66"/>
      <x:c r="E8" s="66"/>
      <x:c r="F8" s="66"/>
      <x:c r="G8" s="66"/>
      <x:c r="H8" s="66"/>
    </x:row>
    <x:row r="9">
      <x:c r="A9" s="20" t="str">
        <x:v>Necessidade associada</x:v>
      </x:c>
      <x:c r="B9" s="20" t="str">
        <x:v>CTQ / atributo crítico</x:v>
      </x:c>
      <x:c r="C9" s="20" t="str">
        <x:v>Tipo</x:v>
      </x:c>
      <x:c r="D9" s="20" t="str">
        <x:v>Prioridade</x:v>
      </x:c>
      <x:c r="E9" s="20" t="str">
        <x:v>Critério conceitual</x:v>
      </x:c>
      <x:c r="F9" s="20" t="str">
        <x:v>Como será investigado</x:v>
      </x:c>
      <x:c r="G9" s="20" t="str">
        <x:v>Incerteza associada</x:v>
      </x:c>
      <x:c r="H9" s="20" t="str">
        <x:v>Responsável</x:v>
      </x:c>
    </x:row>
    <x:row r="10">
      <x:c r="A10" s="37" t="str"/>
      <x:c r="B10" s="37" t="str"/>
      <x:c r="C10" s="37" t="str"/>
      <x:c r="D10" s="37" t="str"/>
      <x:c r="E10" s="37" t="str"/>
      <x:c r="F10" s="37" t="str"/>
      <x:c r="G10" s="37" t="str"/>
      <x:c r="H10" s="37" t="str"/>
    </x:row>
    <x:row r="11">
      <x:c r="A11" s="37" t="str"/>
      <x:c r="B11" s="37" t="str"/>
      <x:c r="C11" s="37" t="str"/>
      <x:c r="D11" s="37" t="str"/>
      <x:c r="E11" s="37" t="str"/>
      <x:c r="F11" s="37" t="str"/>
      <x:c r="G11" s="37" t="str"/>
      <x:c r="H11" s="37" t="str"/>
    </x:row>
    <x:row r="12">
      <x:c r="A12" s="37" t="str"/>
      <x:c r="B12" s="37" t="str"/>
      <x:c r="C12" s="37" t="str"/>
      <x:c r="D12" s="37" t="str"/>
      <x:c r="E12" s="37" t="str"/>
      <x:c r="F12" s="37" t="str"/>
      <x:c r="G12" s="37" t="str"/>
      <x:c r="H12" s="37" t="str"/>
    </x:row>
    <x:row r="13">
      <x:c r="A13" s="37" t="str"/>
      <x:c r="B13" s="37" t="str"/>
      <x:c r="C13" s="37" t="str"/>
      <x:c r="D13" s="37" t="str"/>
      <x:c r="E13" s="37" t="str"/>
      <x:c r="F13" s="37" t="str"/>
      <x:c r="G13" s="37" t="str"/>
      <x:c r="H13" s="37" t="str"/>
    </x:row>
    <x:row r="14">
      <x:c r="A14" s="37" t="str"/>
      <x:c r="B14" s="37" t="str"/>
      <x:c r="C14" s="37" t="str"/>
      <x:c r="D14" s="37" t="str"/>
      <x:c r="E14" s="37" t="str"/>
      <x:c r="F14" s="37" t="str"/>
      <x:c r="G14" s="37" t="str"/>
      <x:c r="H14" s="37" t="str"/>
    </x:row>
    <x:row r="15">
      <x:c r="A15" s="37" t="str"/>
      <x:c r="B15" s="37" t="str"/>
      <x:c r="C15" s="37" t="str"/>
      <x:c r="D15" s="37" t="str"/>
      <x:c r="E15" s="37" t="str"/>
      <x:c r="F15" s="37" t="str"/>
      <x:c r="G15" s="37" t="str"/>
      <x:c r="H15" s="37" t="str"/>
    </x:row>
    <x:row r="16">
      <x:c r="A16" s="37" t="str"/>
      <x:c r="B16" s="37" t="str"/>
      <x:c r="C16" s="37" t="str"/>
      <x:c r="D16" s="37" t="str"/>
      <x:c r="E16" s="37" t="str"/>
      <x:c r="F16" s="37" t="str"/>
      <x:c r="G16" s="37" t="str"/>
      <x:c r="H16" s="37" t="str"/>
    </x:row>
    <x:row r="17">
      <x:c r="A17" s="37" t="str"/>
      <x:c r="B17" s="37" t="str"/>
      <x:c r="C17" s="37" t="str"/>
      <x:c r="D17" s="37" t="str"/>
      <x:c r="E17" s="37" t="str"/>
      <x:c r="F17" s="37" t="str"/>
      <x:c r="G17" s="37" t="str"/>
      <x:c r="H17" s="37" t="str"/>
    </x:row>
    <x:row r="18">
      <x:c r="A18" s="37" t="str"/>
      <x:c r="B18" s="37" t="str"/>
      <x:c r="C18" s="37" t="str"/>
      <x:c r="D18" s="37" t="str"/>
      <x:c r="E18" s="37" t="str"/>
      <x:c r="F18" s="37" t="str"/>
      <x:c r="G18" s="37" t="str"/>
      <x:c r="H18" s="37" t="str"/>
    </x:row>
    <x:row r="19">
      <x:c r="A19" s="37" t="str"/>
      <x:c r="B19" s="37" t="str"/>
      <x:c r="C19" s="37" t="str"/>
      <x:c r="D19" s="37" t="str"/>
      <x:c r="E19" s="37" t="str"/>
      <x:c r="F19" s="37" t="str"/>
      <x:c r="G19" s="37" t="str"/>
      <x:c r="H19" s="37" t="str"/>
    </x:row>
    <x:row r="20">
      <x:c r="A20" s="37" t="str"/>
      <x:c r="B20" s="37" t="str"/>
      <x:c r="C20" s="37" t="str"/>
      <x:c r="D20" s="37" t="str"/>
      <x:c r="E20" s="37" t="str"/>
      <x:c r="F20" s="37" t="str"/>
      <x:c r="G20" s="37" t="str"/>
      <x:c r="H20" s="37" t="str"/>
    </x:row>
    <x:row r="21">
      <x:c r="A21" s="37" t="str"/>
      <x:c r="B21" s="37" t="str"/>
      <x:c r="C21" s="37" t="str"/>
      <x:c r="D21" s="37" t="str"/>
      <x:c r="E21" s="37" t="str"/>
      <x:c r="F21" s="37" t="str"/>
      <x:c r="G21" s="37" t="str"/>
      <x:c r="H21" s="37" t="str"/>
    </x:row>
    <x:row r="22">
      <x:c r="A22" s="37" t="str"/>
      <x:c r="B22" s="37" t="str"/>
      <x:c r="C22" s="37" t="str"/>
      <x:c r="D22" s="37" t="str"/>
      <x:c r="E22" s="37" t="str"/>
      <x:c r="F22" s="37" t="str"/>
      <x:c r="G22" s="37" t="str"/>
      <x:c r="H22" s="37" t="str"/>
    </x:row>
    <x:row r="23">
      <x:c r="A23" s="37" t="str"/>
      <x:c r="B23" s="37" t="str"/>
      <x:c r="C23" s="37" t="str"/>
      <x:c r="D23" s="37" t="str"/>
      <x:c r="E23" s="37" t="str"/>
      <x:c r="F23" s="37" t="str"/>
      <x:c r="G23" s="37" t="str"/>
      <x:c r="H23" s="37" t="str"/>
    </x:row>
    <x:row r="24">
      <x:c r="A24" s="37" t="str"/>
      <x:c r="B24" s="37" t="str"/>
      <x:c r="C24" s="37" t="str"/>
      <x:c r="D24" s="37" t="str"/>
      <x:c r="E24" s="37" t="str"/>
      <x:c r="F24" s="37" t="str"/>
      <x:c r="G24" s="37" t="str"/>
      <x:c r="H24" s="37" t="str"/>
    </x:row>
    <x:row r="25">
      <x:c r="A25" s="37" t="str"/>
      <x:c r="B25" s="37" t="str"/>
      <x:c r="C25" s="37" t="str"/>
      <x:c r="D25" s="37" t="str"/>
      <x:c r="E25" s="37" t="str"/>
      <x:c r="F25" s="37" t="str"/>
      <x:c r="G25" s="37" t="str"/>
      <x:c r="H25" s="37" t="str"/>
    </x:row>
    <x:row r="26">
      <x:c r="A26" s="37" t="str"/>
      <x:c r="B26" s="37" t="str"/>
      <x:c r="C26" s="37" t="str"/>
      <x:c r="D26" s="37" t="str"/>
      <x:c r="E26" s="37" t="str"/>
      <x:c r="F26" s="37" t="str"/>
      <x:c r="G26" s="37" t="str"/>
      <x:c r="H26" s="37" t="str"/>
    </x:row>
    <x:row r="27">
      <x:c r="A27" s="37" t="str"/>
      <x:c r="B27" s="37" t="str"/>
      <x:c r="C27" s="37" t="str"/>
      <x:c r="D27" s="37" t="str"/>
      <x:c r="E27" s="37" t="str"/>
      <x:c r="F27" s="37" t="str"/>
      <x:c r="G27" s="37" t="str"/>
      <x:c r="H27" s="37" t="str"/>
    </x:row>
  </x:sheetData>
  <x:mergeCells>
    <x:mergeCell ref="A1:H1"/>
    <x:mergeCell ref="A2:H2"/>
    <x:mergeCell ref="A8:H8"/>
  </x:mergeCells>
  <x:dataValidations count="3">
    <x:dataValidation type="list" sqref="H5">
      <x:formula1>"Não iniciado,Em preenchimento,Em revisão,Concluído"</x:formula1>
    </x:dataValidation>
    <x:dataValidation type="list" sqref="C10:C27">
      <x:formula1>"Segurança,Desempenho,Usabilidade,Regulatório,Econômico,Produto"</x:formula1>
    </x:dataValidation>
    <x:dataValidation type="list" sqref="D10:D27">
      <x:formula1>"Alta,Média,Baixa"</x:formula1>
    </x:dataValidation>
  </x:dataValidations>
  <x:pageMargins left="0.7" right="0.7" top="0.75" bottom="0.75" header="0.3" footer="0.3"/>
</x:worksheet>
</file>

<file path=xl/worksheets/sheet30.xml><?xml version="1.0" encoding="utf-8"?>
<x:worksheet xmlns:x="http://schemas.openxmlformats.org/spreadsheetml/2006/main">
  <x:sheetFormatPr defaultRowHeight="15"/>
  <x:cols>
    <x:col min="1" max="1" width="42" hidden="0" customWidth="1"/>
    <x:col min="2" max="2" width="16" hidden="0" customWidth="1"/>
    <x:col min="3" max="3" width="36" hidden="0" customWidth="1"/>
    <x:col min="4" max="4" width="36" hidden="0" customWidth="1"/>
    <x:col min="5" max="5" width="36" hidden="0" customWidth="1"/>
    <x:col min="6" max="6" width="22" hidden="0" customWidth="1"/>
    <x:col min="7" max="7" width="22" hidden="0" customWidth="1"/>
    <x:col min="8" max="8" width="22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</x:cols>
  <x:sheetData>
    <x:row r="1">
      <x:c r="A1" s="4" t="str">
        <x:v>Triagem OEM / produto de mercado</x:v>
      </x:c>
      <x:c r="B1" s="4"/>
      <x:c r="C1" s="4"/>
      <x:c r="D1" s="4"/>
      <x:c r="E1" s="4"/>
      <x:c r="F1" s="4"/>
      <x:c r="G1" s="4"/>
      <x:c r="H1" s="4"/>
    </x:row>
    <x:row r="2">
      <x:c r="A2" s="11" t="str">
        <x:v>Ferramenta do ciclo de idealização até conceito aprovado. Preencha somente quando aplicável ao produto.</x:v>
      </x:c>
      <x:c r="B2" s="11"/>
      <x:c r="C2" s="11"/>
      <x:c r="D2" s="11"/>
      <x:c r="E2" s="11"/>
      <x:c r="F2" s="11"/>
      <x:c r="G2" s="11"/>
      <x:c r="H2" s="11"/>
    </x:row>
    <x:row r="3">
      <x:c r="A3" s="58" t="str">
        <x:v>Código</x:v>
      </x:c>
      <x:c r="B3" s="32" t="str">
        <x:v>G2_OEM</x:v>
      </x:c>
      <x:c r="C3" s="32" t="str"/>
      <x:c r="D3" s="58" t="str">
        <x:v>Gate</x:v>
      </x:c>
      <x:c r="E3" s="32" t="str">
        <x:v>Gate 2 — Estratégia e Requisitos</x:v>
      </x:c>
      <x:c r="F3" s="32" t="str"/>
      <x:c r="G3" s="58" t="str">
        <x:v>Tipo</x:v>
      </x:c>
      <x:c r="H3" s="32" t="str">
        <x:v>Triagem</x:v>
      </x:c>
    </x:row>
    <x:row r="4">
      <x:c r="A4" s="58" t="str">
        <x:v>Propósito</x:v>
      </x:c>
      <x:c r="B4" s="32" t="str">
        <x:v>Ver se produto existente atende oportunidade</x:v>
      </x:c>
      <x:c r="C4" s="32" t="str"/>
      <x:c r="D4" s="58" t="str">
        <x:v>Quando usar</x:v>
      </x:c>
      <x:c r="E4" s="32" t="str">
        <x:v>Conforme pacote inteligente / Mapa_Selecao</x:v>
      </x:c>
      <x:c r="F4" s="32" t="str"/>
      <x:c r="G4" s="58" t="str">
        <x:v>Observações</x:v>
      </x:c>
      <x:c r="H4" s="32" t="str">
        <x:v>Não substitui projeto detalhado; registra hipóteses, alertas e incertezas.</x:v>
      </x:c>
    </x:row>
    <x:row r="5">
      <x:c r="A5" s="58" t="str">
        <x:v>Produto</x:v>
      </x:c>
      <x:c r="B5" s="32" t="str">
        <x:f>IF(Dashboard!B4="","",Dashboard!B4)</x:f>
      </x:c>
      <x:c r="C5" s="32" t="str"/>
      <x:c r="D5" s="58" t="str">
        <x:v>Responsável</x:v>
      </x:c>
      <x:c r="E5" s="32" t="str">
        <x:f>IF(Dashboard!B6="","",Dashboard!B6)</x:f>
      </x:c>
      <x:c r="F5" s="32" t="str"/>
      <x:c r="G5" s="58" t="str">
        <x:v>Status</x:v>
      </x:c>
      <x:c r="H5" s="32" t="str"/>
    </x:row>
    <x:row r="6">
      <x:c r="A6" s="61" t="e">
        <x:f>HYPERLINK("#'Dashboard'!A1","← Dashboard")</x:f>
      </x:c>
      <x:c r="B6" s="61" t="e">
        <x:f>HYPERLINK("#'Indice'!A1","Índice")</x:f>
      </x:c>
      <x:c r="C6" s="61" t="e">
        <x:f>HYPERLINK("#'Mapa_Selecao'!A1","Mapa de seleção")</x:f>
      </x:c>
    </x:row>
    <x:row r="8">
      <x:c r="A8" s="66" t="str">
        <x:v>Triagem OEM / produto de mercado</x:v>
      </x:c>
      <x:c r="B8" s="66" t="str"/>
      <x:c r="C8" s="66" t="str"/>
      <x:c r="D8" s="66" t="str"/>
      <x:c r="E8" s="66" t="str"/>
    </x:row>
    <x:row r="9">
      <x:c r="A9" s="20" t="str">
        <x:v>Pergunta de triagem</x:v>
      </x:c>
      <x:c r="B9" s="20" t="str">
        <x:v>Resposta</x:v>
      </x:c>
      <x:c r="C9" s="20" t="str">
        <x:v>Alerta / incerteza</x:v>
      </x:c>
      <x:c r="D9" s="20" t="str">
        <x:v>Impacto no conceito</x:v>
      </x:c>
      <x:c r="E9" s="20" t="str">
        <x:v>Encaminhamento</x:v>
      </x:c>
    </x:row>
    <x:row r="10">
      <x:c r="A10" t="str">
        <x:v>O produto já existe no mercado?</x:v>
      </x:c>
      <x:c r="B10" t="str"/>
      <x:c r="C10" t="str"/>
      <x:c r="D10" t="str"/>
      <x:c r="E10" t="str"/>
    </x:row>
    <x:row r="11">
      <x:c r="A11" t="str">
        <x:v>Será usado como recebido?</x:v>
      </x:c>
      <x:c r="B11" t="str"/>
      <x:c r="C11" t="str"/>
      <x:c r="D11" t="str"/>
      <x:c r="E11" t="str"/>
    </x:row>
    <x:row r="12">
      <x:c r="A12" t="str">
        <x:v>Haverá marca própria?</x:v>
      </x:c>
      <x:c r="B12" t="str"/>
      <x:c r="C12" t="str"/>
      <x:c r="D12" t="str"/>
      <x:c r="E12" t="str"/>
    </x:row>
    <x:row r="13">
      <x:c r="A13" t="str">
        <x:v>Há amostra comercial disponível?</x:v>
      </x:c>
      <x:c r="B13" t="str"/>
      <x:c r="C13" t="str"/>
      <x:c r="D13" t="str"/>
      <x:c r="E13" t="str"/>
    </x:row>
    <x:row r="14">
      <x:c r="A14" t="str">
        <x:v>Há produto similar registrado?</x:v>
      </x:c>
      <x:c r="B14" t="str"/>
      <x:c r="C14" t="str"/>
      <x:c r="D14" t="str"/>
      <x:c r="E14" t="str"/>
    </x:row>
    <x:row r="15">
      <x:c r="A15" t="str"/>
      <x:c r="B15" t="str"/>
      <x:c r="C15" t="str"/>
      <x:c r="D15" t="str"/>
      <x:c r="E15" t="str"/>
    </x:row>
    <x:row r="16">
      <x:c r="A16" t="str"/>
      <x:c r="B16" t="str"/>
      <x:c r="C16" t="str"/>
      <x:c r="D16" t="str"/>
      <x:c r="E16" t="str"/>
    </x:row>
    <x:row r="17">
      <x:c r="A17" t="str"/>
      <x:c r="B17" t="str"/>
      <x:c r="C17" t="str"/>
      <x:c r="D17" t="str"/>
      <x:c r="E17" t="str"/>
    </x:row>
    <x:row r="18">
      <x:c r="A18" t="str"/>
      <x:c r="B18" t="str"/>
      <x:c r="C18" t="str"/>
      <x:c r="D18" t="str"/>
      <x:c r="E18" t="str"/>
    </x:row>
    <x:row r="19">
      <x:c r="A19" t="str"/>
      <x:c r="B19" t="str"/>
      <x:c r="C19" t="str"/>
      <x:c r="D19" t="str"/>
      <x:c r="E19" t="str"/>
    </x:row>
    <x:row r="20">
      <x:c r="A20" t="str"/>
      <x:c r="B20" t="str"/>
      <x:c r="C20" t="str"/>
      <x:c r="D20" t="str"/>
      <x:c r="E20" t="str"/>
    </x:row>
    <x:row r="21">
      <x:c r="A21" t="str"/>
      <x:c r="B21" t="str"/>
      <x:c r="C21" t="str"/>
      <x:c r="D21" t="str"/>
      <x:c r="E21" t="str"/>
    </x:row>
  </x:sheetData>
  <x:mergeCells>
    <x:mergeCell ref="A1:H1"/>
    <x:mergeCell ref="A2:H2"/>
    <x:mergeCell ref="A8:E8"/>
  </x:mergeCells>
  <x:dataValidations count="2">
    <x:dataValidation type="list" sqref="H5">
      <x:formula1>"Não iniciado,Em preenchimento,Em revisão,Concluído"</x:formula1>
    </x:dataValidation>
    <x:dataValidation type="list" sqref="B10:B21">
      <x:formula1>"Sim,Não,Parcial,Não sei,N/A"</x:formula1>
    </x:dataValidation>
  </x:dataValidations>
  <x:pageMargins left="0.7" right="0.7" top="0.75" bottom="0.75" header="0.3" footer="0.3"/>
</x:worksheet>
</file>

<file path=xl/worksheets/sheet31.xml><?xml version="1.0" encoding="utf-8"?>
<x:worksheet xmlns:x="http://schemas.openxmlformats.org/spreadsheetml/2006/main">
  <x:sheetFormatPr defaultRowHeight="15"/>
  <x:cols>
    <x:col min="1" max="1" width="42" hidden="0" customWidth="1"/>
    <x:col min="2" max="2" width="16" hidden="0" customWidth="1"/>
    <x:col min="3" max="3" width="36" hidden="0" customWidth="1"/>
    <x:col min="4" max="4" width="36" hidden="0" customWidth="1"/>
    <x:col min="5" max="5" width="36" hidden="0" customWidth="1"/>
    <x:col min="6" max="6" width="22" hidden="0" customWidth="1"/>
    <x:col min="7" max="7" width="22" hidden="0" customWidth="1"/>
    <x:col min="8" max="8" width="22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</x:cols>
  <x:sheetData>
    <x:row r="1">
      <x:c r="A1" s="4" t="str">
        <x:v>Triagem de fornecedor externo</x:v>
      </x:c>
      <x:c r="B1" s="4"/>
      <x:c r="C1" s="4"/>
      <x:c r="D1" s="4"/>
      <x:c r="E1" s="4"/>
      <x:c r="F1" s="4"/>
      <x:c r="G1" s="4"/>
      <x:c r="H1" s="4"/>
    </x:row>
    <x:row r="2">
      <x:c r="A2" s="11" t="str">
        <x:v>Ferramenta do ciclo de idealização até conceito aprovado. Preencha somente quando aplicável ao produto.</x:v>
      </x:c>
      <x:c r="B2" s="11"/>
      <x:c r="C2" s="11"/>
      <x:c r="D2" s="11"/>
      <x:c r="E2" s="11"/>
      <x:c r="F2" s="11"/>
      <x:c r="G2" s="11"/>
      <x:c r="H2" s="11"/>
    </x:row>
    <x:row r="3">
      <x:c r="A3" s="58" t="str">
        <x:v>Código</x:v>
      </x:c>
      <x:c r="B3" s="32" t="str">
        <x:v>G2_FORN</x:v>
      </x:c>
      <x:c r="C3" s="32" t="str"/>
      <x:c r="D3" s="58" t="str">
        <x:v>Gate</x:v>
      </x:c>
      <x:c r="E3" s="32" t="str">
        <x:v>Gate 2 — Estratégia e Requisitos</x:v>
      </x:c>
      <x:c r="F3" s="32" t="str"/>
      <x:c r="G3" s="58" t="str">
        <x:v>Tipo</x:v>
      </x:c>
      <x:c r="H3" s="32" t="str">
        <x:v>Triagem</x:v>
      </x:c>
    </x:row>
    <x:row r="4">
      <x:c r="A4" s="58" t="str">
        <x:v>Propósito</x:v>
      </x:c>
      <x:c r="B4" s="32" t="str">
        <x:v>Identificar dependência de fornecedor</x:v>
      </x:c>
      <x:c r="C4" s="32" t="str"/>
      <x:c r="D4" s="58" t="str">
        <x:v>Quando usar</x:v>
      </x:c>
      <x:c r="E4" s="32" t="str">
        <x:v>Conforme pacote inteligente / Mapa_Selecao</x:v>
      </x:c>
      <x:c r="F4" s="32" t="str"/>
      <x:c r="G4" s="58" t="str">
        <x:v>Observações</x:v>
      </x:c>
      <x:c r="H4" s="32" t="str">
        <x:v>Não substitui projeto detalhado; registra hipóteses, alertas e incertezas.</x:v>
      </x:c>
    </x:row>
    <x:row r="5">
      <x:c r="A5" s="58" t="str">
        <x:v>Produto</x:v>
      </x:c>
      <x:c r="B5" s="32" t="str">
        <x:f>IF(Dashboard!B4="","",Dashboard!B4)</x:f>
      </x:c>
      <x:c r="C5" s="32" t="str"/>
      <x:c r="D5" s="58" t="str">
        <x:v>Responsável</x:v>
      </x:c>
      <x:c r="E5" s="32" t="str">
        <x:f>IF(Dashboard!B6="","",Dashboard!B6)</x:f>
      </x:c>
      <x:c r="F5" s="32" t="str"/>
      <x:c r="G5" s="58" t="str">
        <x:v>Status</x:v>
      </x:c>
      <x:c r="H5" s="32" t="str"/>
    </x:row>
    <x:row r="6">
      <x:c r="A6" s="61" t="e">
        <x:f>HYPERLINK("#'Dashboard'!A1","← Dashboard")</x:f>
      </x:c>
      <x:c r="B6" s="61" t="e">
        <x:f>HYPERLINK("#'Indice'!A1","Índice")</x:f>
      </x:c>
      <x:c r="C6" s="61" t="e">
        <x:f>HYPERLINK("#'Mapa_Selecao'!A1","Mapa de seleção")</x:f>
      </x:c>
    </x:row>
    <x:row r="8">
      <x:c r="A8" s="66" t="str">
        <x:v>Triagem de fornecedor externo</x:v>
      </x:c>
      <x:c r="B8" s="66" t="str"/>
      <x:c r="C8" s="66" t="str"/>
      <x:c r="D8" s="66" t="str"/>
      <x:c r="E8" s="66" t="str"/>
    </x:row>
    <x:row r="9">
      <x:c r="A9" s="20" t="str">
        <x:v>Pergunta de triagem</x:v>
      </x:c>
      <x:c r="B9" s="20" t="str">
        <x:v>Resposta</x:v>
      </x:c>
      <x:c r="C9" s="20" t="str">
        <x:v>Alerta / incerteza</x:v>
      </x:c>
      <x:c r="D9" s="20" t="str">
        <x:v>Impacto no conceito</x:v>
      </x:c>
      <x:c r="E9" s="20" t="str">
        <x:v>Encaminhamento</x:v>
      </x:c>
    </x:row>
    <x:row r="10">
      <x:c r="A10" t="str">
        <x:v>Há fornecedor definido?</x:v>
      </x:c>
      <x:c r="B10" t="str"/>
      <x:c r="C10" t="str"/>
      <x:c r="D10" t="str"/>
      <x:c r="E10" t="str"/>
    </x:row>
    <x:row r="11">
      <x:c r="A11" t="str">
        <x:v>Há mais de um fornecedor?</x:v>
      </x:c>
      <x:c r="B11" t="str"/>
      <x:c r="C11" t="str"/>
      <x:c r="D11" t="str"/>
      <x:c r="E11" t="str"/>
    </x:row>
    <x:row r="12">
      <x:c r="A12" t="str">
        <x:v>Existe dependência de fornecedor único?</x:v>
      </x:c>
      <x:c r="B12" t="str"/>
      <x:c r="C12" t="str"/>
      <x:c r="D12" t="str"/>
      <x:c r="E12" t="str"/>
    </x:row>
    <x:row r="13">
      <x:c r="A13" t="str">
        <x:v>Há documentação preliminar disponível?</x:v>
      </x:c>
      <x:c r="B13" t="str"/>
      <x:c r="C13" t="str"/>
      <x:c r="D13" t="str"/>
      <x:c r="E13" t="str"/>
    </x:row>
    <x:row r="14">
      <x:c r="A14" t="str">
        <x:v>Há risco de prazo/lead time?</x:v>
      </x:c>
      <x:c r="B14" t="str"/>
      <x:c r="C14" t="str"/>
      <x:c r="D14" t="str"/>
      <x:c r="E14" t="str"/>
    </x:row>
    <x:row r="15">
      <x:c r="A15" t="str"/>
      <x:c r="B15" t="str"/>
      <x:c r="C15" t="str"/>
      <x:c r="D15" t="str"/>
      <x:c r="E15" t="str"/>
    </x:row>
    <x:row r="16">
      <x:c r="A16" t="str"/>
      <x:c r="B16" t="str"/>
      <x:c r="C16" t="str"/>
      <x:c r="D16" t="str"/>
      <x:c r="E16" t="str"/>
    </x:row>
    <x:row r="17">
      <x:c r="A17" t="str"/>
      <x:c r="B17" t="str"/>
      <x:c r="C17" t="str"/>
      <x:c r="D17" t="str"/>
      <x:c r="E17" t="str"/>
    </x:row>
    <x:row r="18">
      <x:c r="A18" t="str"/>
      <x:c r="B18" t="str"/>
      <x:c r="C18" t="str"/>
      <x:c r="D18" t="str"/>
      <x:c r="E18" t="str"/>
    </x:row>
    <x:row r="19">
      <x:c r="A19" t="str"/>
      <x:c r="B19" t="str"/>
      <x:c r="C19" t="str"/>
      <x:c r="D19" t="str"/>
      <x:c r="E19" t="str"/>
    </x:row>
    <x:row r="20">
      <x:c r="A20" t="str"/>
      <x:c r="B20" t="str"/>
      <x:c r="C20" t="str"/>
      <x:c r="D20" t="str"/>
      <x:c r="E20" t="str"/>
    </x:row>
    <x:row r="21">
      <x:c r="A21" t="str"/>
      <x:c r="B21" t="str"/>
      <x:c r="C21" t="str"/>
      <x:c r="D21" t="str"/>
      <x:c r="E21" t="str"/>
    </x:row>
  </x:sheetData>
  <x:mergeCells>
    <x:mergeCell ref="A1:H1"/>
    <x:mergeCell ref="A2:H2"/>
    <x:mergeCell ref="A8:E8"/>
  </x:mergeCells>
  <x:dataValidations count="2">
    <x:dataValidation type="list" sqref="H5">
      <x:formula1>"Não iniciado,Em preenchimento,Em revisão,Concluído"</x:formula1>
    </x:dataValidation>
    <x:dataValidation type="list" sqref="B10:B21">
      <x:formula1>"Sim,Não,Parcial,Não sei,N/A"</x:formula1>
    </x:dataValidation>
  </x:dataValidations>
  <x:pageMargins left="0.7" right="0.7" top="0.75" bottom="0.75" header="0.3" footer="0.3"/>
</x:worksheet>
</file>

<file path=xl/worksheets/sheet32.xml><?xml version="1.0" encoding="utf-8"?>
<x:worksheet xmlns:x="http://schemas.openxmlformats.org/spreadsheetml/2006/main">
  <x:sheetFormatPr defaultRowHeight="15"/>
  <x:cols>
    <x:col min="1" max="1" width="42" hidden="0" customWidth="1"/>
    <x:col min="2" max="2" width="16" hidden="0" customWidth="1"/>
    <x:col min="3" max="3" width="36" hidden="0" customWidth="1"/>
    <x:col min="4" max="4" width="36" hidden="0" customWidth="1"/>
    <x:col min="5" max="5" width="36" hidden="0" customWidth="1"/>
    <x:col min="6" max="6" width="22" hidden="0" customWidth="1"/>
    <x:col min="7" max="7" width="22" hidden="0" customWidth="1"/>
    <x:col min="8" max="8" width="22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</x:cols>
  <x:sheetData>
    <x:row r="1">
      <x:c r="A1" s="4" t="str">
        <x:v>Triagem de customização</x:v>
      </x:c>
      <x:c r="B1" s="4"/>
      <x:c r="C1" s="4"/>
      <x:c r="D1" s="4"/>
      <x:c r="E1" s="4"/>
      <x:c r="F1" s="4"/>
      <x:c r="G1" s="4"/>
      <x:c r="H1" s="4"/>
    </x:row>
    <x:row r="2">
      <x:c r="A2" s="11" t="str">
        <x:v>Ferramenta do ciclo de idealização até conceito aprovado. Preencha somente quando aplicável ao produto.</x:v>
      </x:c>
      <x:c r="B2" s="11"/>
      <x:c r="C2" s="11"/>
      <x:c r="D2" s="11"/>
      <x:c r="E2" s="11"/>
      <x:c r="F2" s="11"/>
      <x:c r="G2" s="11"/>
      <x:c r="H2" s="11"/>
    </x:row>
    <x:row r="3">
      <x:c r="A3" s="58" t="str">
        <x:v>Código</x:v>
      </x:c>
      <x:c r="B3" s="32" t="str">
        <x:v>G2_CUSTOM</x:v>
      </x:c>
      <x:c r="C3" s="32" t="str"/>
      <x:c r="D3" s="58" t="str">
        <x:v>Gate</x:v>
      </x:c>
      <x:c r="E3" s="32" t="str">
        <x:v>Gate 2 — Estratégia e Requisitos</x:v>
      </x:c>
      <x:c r="F3" s="32" t="str"/>
      <x:c r="G3" s="58" t="str">
        <x:v>Tipo</x:v>
      </x:c>
      <x:c r="H3" s="32" t="str">
        <x:v>Triagem</x:v>
      </x:c>
    </x:row>
    <x:row r="4">
      <x:c r="A4" s="58" t="str">
        <x:v>Propósito</x:v>
      </x:c>
      <x:c r="B4" s="32" t="str">
        <x:v>Ver se haverá alteração documental/técnica</x:v>
      </x:c>
      <x:c r="C4" s="32" t="str"/>
      <x:c r="D4" s="58" t="str">
        <x:v>Quando usar</x:v>
      </x:c>
      <x:c r="E4" s="32" t="str">
        <x:v>Conforme pacote inteligente / Mapa_Selecao</x:v>
      </x:c>
      <x:c r="F4" s="32" t="str"/>
      <x:c r="G4" s="58" t="str">
        <x:v>Observações</x:v>
      </x:c>
      <x:c r="H4" s="32" t="str">
        <x:v>Não substitui projeto detalhado; registra hipóteses, alertas e incertezas.</x:v>
      </x:c>
    </x:row>
    <x:row r="5">
      <x:c r="A5" s="58" t="str">
        <x:v>Produto</x:v>
      </x:c>
      <x:c r="B5" s="32" t="str">
        <x:f>IF(Dashboard!B4="","",Dashboard!B4)</x:f>
      </x:c>
      <x:c r="C5" s="32" t="str"/>
      <x:c r="D5" s="58" t="str">
        <x:v>Responsável</x:v>
      </x:c>
      <x:c r="E5" s="32" t="str">
        <x:f>IF(Dashboard!B6="","",Dashboard!B6)</x:f>
      </x:c>
      <x:c r="F5" s="32" t="str"/>
      <x:c r="G5" s="58" t="str">
        <x:v>Status</x:v>
      </x:c>
      <x:c r="H5" s="32" t="str"/>
    </x:row>
    <x:row r="6">
      <x:c r="A6" s="61" t="e">
        <x:f>HYPERLINK("#'Dashboard'!A1","← Dashboard")</x:f>
      </x:c>
      <x:c r="B6" s="61" t="e">
        <x:f>HYPERLINK("#'Indice'!A1","Índice")</x:f>
      </x:c>
      <x:c r="C6" s="61" t="e">
        <x:f>HYPERLINK("#'Mapa_Selecao'!A1","Mapa de seleção")</x:f>
      </x:c>
    </x:row>
    <x:row r="8">
      <x:c r="A8" s="66" t="str">
        <x:v>Triagem de customização</x:v>
      </x:c>
      <x:c r="B8" s="66" t="str"/>
      <x:c r="C8" s="66" t="str"/>
      <x:c r="D8" s="66" t="str"/>
      <x:c r="E8" s="66" t="str"/>
    </x:row>
    <x:row r="9">
      <x:c r="A9" s="20" t="str">
        <x:v>Pergunta de triagem</x:v>
      </x:c>
      <x:c r="B9" s="20" t="str">
        <x:v>Resposta</x:v>
      </x:c>
      <x:c r="C9" s="20" t="str">
        <x:v>Alerta / incerteza</x:v>
      </x:c>
      <x:c r="D9" s="20" t="str">
        <x:v>Impacto no conceito</x:v>
      </x:c>
      <x:c r="E9" s="20" t="str">
        <x:v>Encaminhamento</x:v>
      </x:c>
    </x:row>
    <x:row r="10">
      <x:c r="A10" t="str">
        <x:v>Haverá alteração de rótulo/idioma?</x:v>
      </x:c>
      <x:c r="B10" t="str"/>
      <x:c r="C10" t="str"/>
      <x:c r="D10" t="str"/>
      <x:c r="E10" t="str"/>
    </x:row>
    <x:row r="11">
      <x:c r="A11" t="str">
        <x:v>Haverá alteração de IFU?</x:v>
      </x:c>
      <x:c r="B11" t="str"/>
      <x:c r="C11" t="str"/>
      <x:c r="D11" t="str"/>
      <x:c r="E11" t="str"/>
    </x:row>
    <x:row r="12">
      <x:c r="A12" t="str">
        <x:v>Haverá alteração de embalagem?</x:v>
      </x:c>
      <x:c r="B12" t="str"/>
      <x:c r="C12" t="str"/>
      <x:c r="D12" t="str"/>
      <x:c r="E12" t="str"/>
    </x:row>
    <x:row r="13">
      <x:c r="A13" t="str">
        <x:v>Haverá alteração de uso pretendido?</x:v>
      </x:c>
      <x:c r="B13" t="str"/>
      <x:c r="C13" t="str"/>
      <x:c r="D13" t="str"/>
      <x:c r="E13" t="str"/>
    </x:row>
    <x:row r="14">
      <x:c r="A14" t="str">
        <x:v>A customização impacta o conceito?</x:v>
      </x:c>
      <x:c r="B14" t="str"/>
      <x:c r="C14" t="str"/>
      <x:c r="D14" t="str"/>
      <x:c r="E14" t="str"/>
    </x:row>
    <x:row r="15">
      <x:c r="A15" t="str"/>
      <x:c r="B15" t="str"/>
      <x:c r="C15" t="str"/>
      <x:c r="D15" t="str"/>
      <x:c r="E15" t="str"/>
    </x:row>
    <x:row r="16">
      <x:c r="A16" t="str"/>
      <x:c r="B16" t="str"/>
      <x:c r="C16" t="str"/>
      <x:c r="D16" t="str"/>
      <x:c r="E16" t="str"/>
    </x:row>
    <x:row r="17">
      <x:c r="A17" t="str"/>
      <x:c r="B17" t="str"/>
      <x:c r="C17" t="str"/>
      <x:c r="D17" t="str"/>
      <x:c r="E17" t="str"/>
    </x:row>
    <x:row r="18">
      <x:c r="A18" t="str"/>
      <x:c r="B18" t="str"/>
      <x:c r="C18" t="str"/>
      <x:c r="D18" t="str"/>
      <x:c r="E18" t="str"/>
    </x:row>
    <x:row r="19">
      <x:c r="A19" t="str"/>
      <x:c r="B19" t="str"/>
      <x:c r="C19" t="str"/>
      <x:c r="D19" t="str"/>
      <x:c r="E19" t="str"/>
    </x:row>
    <x:row r="20">
      <x:c r="A20" t="str"/>
      <x:c r="B20" t="str"/>
      <x:c r="C20" t="str"/>
      <x:c r="D20" t="str"/>
      <x:c r="E20" t="str"/>
    </x:row>
    <x:row r="21">
      <x:c r="A21" t="str"/>
      <x:c r="B21" t="str"/>
      <x:c r="C21" t="str"/>
      <x:c r="D21" t="str"/>
      <x:c r="E21" t="str"/>
    </x:row>
  </x:sheetData>
  <x:mergeCells>
    <x:mergeCell ref="A1:H1"/>
    <x:mergeCell ref="A2:H2"/>
    <x:mergeCell ref="A8:E8"/>
  </x:mergeCells>
  <x:dataValidations count="2">
    <x:dataValidation type="list" sqref="H5">
      <x:formula1>"Não iniciado,Em preenchimento,Em revisão,Concluído"</x:formula1>
    </x:dataValidation>
    <x:dataValidation type="list" sqref="B10:B21">
      <x:formula1>"Sim,Não,Parcial,Não sei,N/A"</x:formula1>
    </x:dataValidation>
  </x:dataValidations>
  <x:pageMargins left="0.7" right="0.7" top="0.75" bottom="0.75" header="0.3" footer="0.3"/>
</x:worksheet>
</file>

<file path=xl/worksheets/sheet33.xml><?xml version="1.0" encoding="utf-8"?>
<x:worksheet xmlns:x="http://schemas.openxmlformats.org/spreadsheetml/2006/main">
  <x:sheetFormatPr defaultRowHeight="15"/>
  <x:cols>
    <x:col min="1" max="1" width="42" hidden="0" customWidth="1"/>
    <x:col min="2" max="2" width="16" hidden="0" customWidth="1"/>
    <x:col min="3" max="3" width="36" hidden="0" customWidth="1"/>
    <x:col min="4" max="4" width="36" hidden="0" customWidth="1"/>
    <x:col min="5" max="5" width="36" hidden="0" customWidth="1"/>
    <x:col min="6" max="6" width="22" hidden="0" customWidth="1"/>
    <x:col min="7" max="7" width="22" hidden="0" customWidth="1"/>
    <x:col min="8" max="8" width="22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</x:cols>
  <x:sheetData>
    <x:row r="1">
      <x:c r="A1" s="4" t="str">
        <x:v>Triagem de produto similar</x:v>
      </x:c>
      <x:c r="B1" s="4"/>
      <x:c r="C1" s="4"/>
      <x:c r="D1" s="4"/>
      <x:c r="E1" s="4"/>
      <x:c r="F1" s="4"/>
      <x:c r="G1" s="4"/>
      <x:c r="H1" s="4"/>
    </x:row>
    <x:row r="2">
      <x:c r="A2" s="11" t="str">
        <x:v>Ferramenta do ciclo de idealização até conceito aprovado. Preencha somente quando aplicável ao produto.</x:v>
      </x:c>
      <x:c r="B2" s="11"/>
      <x:c r="C2" s="11"/>
      <x:c r="D2" s="11"/>
      <x:c r="E2" s="11"/>
      <x:c r="F2" s="11"/>
      <x:c r="G2" s="11"/>
      <x:c r="H2" s="11"/>
    </x:row>
    <x:row r="3">
      <x:c r="A3" s="58" t="str">
        <x:v>Código</x:v>
      </x:c>
      <x:c r="B3" s="32" t="str">
        <x:v>G2_SIMILAR</x:v>
      </x:c>
      <x:c r="C3" s="32" t="str"/>
      <x:c r="D3" s="58" t="str">
        <x:v>Gate</x:v>
      </x:c>
      <x:c r="E3" s="32" t="str">
        <x:v>Gate 2 — Estratégia e Requisitos</x:v>
      </x:c>
      <x:c r="F3" s="32" t="str"/>
      <x:c r="G3" s="58" t="str">
        <x:v>Tipo</x:v>
      </x:c>
      <x:c r="H3" s="32" t="str">
        <x:v>Triagem</x:v>
      </x:c>
    </x:row>
    <x:row r="4">
      <x:c r="A4" s="58" t="str">
        <x:v>Propósito</x:v>
      </x:c>
      <x:c r="B4" s="32" t="str">
        <x:v>Avaliar referência existente</x:v>
      </x:c>
      <x:c r="C4" s="32" t="str"/>
      <x:c r="D4" s="58" t="str">
        <x:v>Quando usar</x:v>
      </x:c>
      <x:c r="E4" s="32" t="str">
        <x:v>Conforme pacote inteligente / Mapa_Selecao</x:v>
      </x:c>
      <x:c r="F4" s="32" t="str"/>
      <x:c r="G4" s="58" t="str">
        <x:v>Observações</x:v>
      </x:c>
      <x:c r="H4" s="32" t="str">
        <x:v>Não substitui projeto detalhado; registra hipóteses, alertas e incertezas.</x:v>
      </x:c>
    </x:row>
    <x:row r="5">
      <x:c r="A5" s="58" t="str">
        <x:v>Produto</x:v>
      </x:c>
      <x:c r="B5" s="32" t="str">
        <x:f>IF(Dashboard!B4="","",Dashboard!B4)</x:f>
      </x:c>
      <x:c r="C5" s="32" t="str"/>
      <x:c r="D5" s="58" t="str">
        <x:v>Responsável</x:v>
      </x:c>
      <x:c r="E5" s="32" t="str">
        <x:f>IF(Dashboard!B6="","",Dashboard!B6)</x:f>
      </x:c>
      <x:c r="F5" s="32" t="str"/>
      <x:c r="G5" s="58" t="str">
        <x:v>Status</x:v>
      </x:c>
      <x:c r="H5" s="32" t="str"/>
    </x:row>
    <x:row r="6">
      <x:c r="A6" s="61" t="e">
        <x:f>HYPERLINK("#'Dashboard'!A1","← Dashboard")</x:f>
      </x:c>
      <x:c r="B6" s="61" t="e">
        <x:f>HYPERLINK("#'Indice'!A1","Índice")</x:f>
      </x:c>
      <x:c r="C6" s="61" t="e">
        <x:f>HYPERLINK("#'Mapa_Selecao'!A1","Mapa de seleção")</x:f>
      </x:c>
    </x:row>
    <x:row r="8">
      <x:c r="A8" s="66" t="str">
        <x:v>Triagem de produto similar</x:v>
      </x:c>
      <x:c r="B8" s="66" t="str"/>
      <x:c r="C8" s="66" t="str"/>
      <x:c r="D8" s="66" t="str"/>
      <x:c r="E8" s="66" t="str"/>
    </x:row>
    <x:row r="9">
      <x:c r="A9" s="20" t="str">
        <x:v>Pergunta de triagem</x:v>
      </x:c>
      <x:c r="B9" s="20" t="str">
        <x:v>Resposta</x:v>
      </x:c>
      <x:c r="C9" s="20" t="str">
        <x:v>Alerta / incerteza</x:v>
      </x:c>
      <x:c r="D9" s="20" t="str">
        <x:v>Impacto no conceito</x:v>
      </x:c>
      <x:c r="E9" s="20" t="str">
        <x:v>Encaminhamento</x:v>
      </x:c>
    </x:row>
    <x:row r="10">
      <x:c r="A10" t="str">
        <x:v>Há produto de referência?</x:v>
      </x:c>
      <x:c r="B10" t="str"/>
      <x:c r="C10" t="str"/>
      <x:c r="D10" t="str"/>
      <x:c r="E10" t="str"/>
    </x:row>
    <x:row r="11">
      <x:c r="A11" t="str">
        <x:v>Há acesso ao produto?</x:v>
      </x:c>
      <x:c r="B11" t="str"/>
      <x:c r="C11" t="str"/>
      <x:c r="D11" t="str"/>
      <x:c r="E11" t="str"/>
    </x:row>
    <x:row r="12">
      <x:c r="A12" t="str">
        <x:v>Há diferenciação pretendida?</x:v>
      </x:c>
      <x:c r="B12" t="str"/>
      <x:c r="C12" t="str"/>
      <x:c r="D12" t="str"/>
      <x:c r="E12" t="str"/>
    </x:row>
    <x:row r="13">
      <x:c r="A13" t="str">
        <x:v>Há risco de propriedade intelectual?</x:v>
      </x:c>
      <x:c r="B13" t="str"/>
      <x:c r="C13" t="str"/>
      <x:c r="D13" t="str"/>
      <x:c r="E13" t="str"/>
    </x:row>
    <x:row r="14">
      <x:c r="A14" t="str">
        <x:v>Há similar registrado?</x:v>
      </x:c>
      <x:c r="B14" t="str"/>
      <x:c r="C14" t="str"/>
      <x:c r="D14" t="str"/>
      <x:c r="E14" t="str"/>
    </x:row>
    <x:row r="15">
      <x:c r="A15" t="str"/>
      <x:c r="B15" t="str"/>
      <x:c r="C15" t="str"/>
      <x:c r="D15" t="str"/>
      <x:c r="E15" t="str"/>
    </x:row>
    <x:row r="16">
      <x:c r="A16" t="str"/>
      <x:c r="B16" t="str"/>
      <x:c r="C16" t="str"/>
      <x:c r="D16" t="str"/>
      <x:c r="E16" t="str"/>
    </x:row>
    <x:row r="17">
      <x:c r="A17" t="str"/>
      <x:c r="B17" t="str"/>
      <x:c r="C17" t="str"/>
      <x:c r="D17" t="str"/>
      <x:c r="E17" t="str"/>
    </x:row>
    <x:row r="18">
      <x:c r="A18" t="str"/>
      <x:c r="B18" t="str"/>
      <x:c r="C18" t="str"/>
      <x:c r="D18" t="str"/>
      <x:c r="E18" t="str"/>
    </x:row>
    <x:row r="19">
      <x:c r="A19" t="str"/>
      <x:c r="B19" t="str"/>
      <x:c r="C19" t="str"/>
      <x:c r="D19" t="str"/>
      <x:c r="E19" t="str"/>
    </x:row>
    <x:row r="20">
      <x:c r="A20" t="str"/>
      <x:c r="B20" t="str"/>
      <x:c r="C20" t="str"/>
      <x:c r="D20" t="str"/>
      <x:c r="E20" t="str"/>
    </x:row>
    <x:row r="21">
      <x:c r="A21" t="str"/>
      <x:c r="B21" t="str"/>
      <x:c r="C21" t="str"/>
      <x:c r="D21" t="str"/>
      <x:c r="E21" t="str"/>
    </x:row>
  </x:sheetData>
  <x:mergeCells>
    <x:mergeCell ref="A1:H1"/>
    <x:mergeCell ref="A2:H2"/>
    <x:mergeCell ref="A8:E8"/>
  </x:mergeCells>
  <x:dataValidations count="2">
    <x:dataValidation type="list" sqref="H5">
      <x:formula1>"Não iniciado,Em preenchimento,Em revisão,Concluído"</x:formula1>
    </x:dataValidation>
    <x:dataValidation type="list" sqref="B10:B21">
      <x:formula1>"Sim,Não,Parcial,Não sei,N/A"</x:formula1>
    </x:dataValidation>
  </x:dataValidations>
  <x:pageMargins left="0.7" right="0.7" top="0.75" bottom="0.75" header="0.3" footer="0.3"/>
</x:worksheet>
</file>

<file path=xl/worksheets/sheet34.xml><?xml version="1.0" encoding="utf-8"?>
<x:worksheet xmlns:x="http://schemas.openxmlformats.org/spreadsheetml/2006/main">
  <x:sheetFormatPr defaultRowHeight="15"/>
  <x:cols>
    <x:col min="1" max="1" width="42" hidden="0" customWidth="1"/>
    <x:col min="2" max="2" width="16" hidden="0" customWidth="1"/>
    <x:col min="3" max="3" width="36" hidden="0" customWidth="1"/>
    <x:col min="4" max="4" width="36" hidden="0" customWidth="1"/>
    <x:col min="5" max="5" width="36" hidden="0" customWidth="1"/>
    <x:col min="6" max="6" width="22" hidden="0" customWidth="1"/>
    <x:col min="7" max="7" width="22" hidden="0" customWidth="1"/>
    <x:col min="8" max="8" width="22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</x:cols>
  <x:sheetData>
    <x:row r="1">
      <x:c r="A1" s="4" t="str">
        <x:v>Triagem de kit ou acessório</x:v>
      </x:c>
      <x:c r="B1" s="4"/>
      <x:c r="C1" s="4"/>
      <x:c r="D1" s="4"/>
      <x:c r="E1" s="4"/>
      <x:c r="F1" s="4"/>
      <x:c r="G1" s="4"/>
      <x:c r="H1" s="4"/>
    </x:row>
    <x:row r="2">
      <x:c r="A2" s="11" t="str">
        <x:v>Ferramenta do ciclo de idealização até conceito aprovado. Preencha somente quando aplicável ao produto.</x:v>
      </x:c>
      <x:c r="B2" s="11"/>
      <x:c r="C2" s="11"/>
      <x:c r="D2" s="11"/>
      <x:c r="E2" s="11"/>
      <x:c r="F2" s="11"/>
      <x:c r="G2" s="11"/>
      <x:c r="H2" s="11"/>
    </x:row>
    <x:row r="3">
      <x:c r="A3" s="58" t="str">
        <x:v>Código</x:v>
      </x:c>
      <x:c r="B3" s="32" t="str">
        <x:v>G2_KIT</x:v>
      </x:c>
      <x:c r="C3" s="32" t="str"/>
      <x:c r="D3" s="58" t="str">
        <x:v>Gate</x:v>
      </x:c>
      <x:c r="E3" s="32" t="str">
        <x:v>Gate 2 — Estratégia e Requisitos</x:v>
      </x:c>
      <x:c r="F3" s="32" t="str"/>
      <x:c r="G3" s="58" t="str">
        <x:v>Tipo</x:v>
      </x:c>
      <x:c r="H3" s="32" t="str">
        <x:v>Triagem</x:v>
      </x:c>
    </x:row>
    <x:row r="4">
      <x:c r="A4" s="58" t="str">
        <x:v>Propósito</x:v>
      </x:c>
      <x:c r="B4" s="32" t="str">
        <x:v>Identificar impactos conceituais</x:v>
      </x:c>
      <x:c r="C4" s="32" t="str"/>
      <x:c r="D4" s="58" t="str">
        <x:v>Quando usar</x:v>
      </x:c>
      <x:c r="E4" s="32" t="str">
        <x:v>Conforme pacote inteligente / Mapa_Selecao</x:v>
      </x:c>
      <x:c r="F4" s="32" t="str"/>
      <x:c r="G4" s="58" t="str">
        <x:v>Observações</x:v>
      </x:c>
      <x:c r="H4" s="32" t="str">
        <x:v>Não substitui projeto detalhado; registra hipóteses, alertas e incertezas.</x:v>
      </x:c>
    </x:row>
    <x:row r="5">
      <x:c r="A5" s="58" t="str">
        <x:v>Produto</x:v>
      </x:c>
      <x:c r="B5" s="32" t="str">
        <x:f>IF(Dashboard!B4="","",Dashboard!B4)</x:f>
      </x:c>
      <x:c r="C5" s="32" t="str"/>
      <x:c r="D5" s="58" t="str">
        <x:v>Responsável</x:v>
      </x:c>
      <x:c r="E5" s="32" t="str">
        <x:f>IF(Dashboard!B6="","",Dashboard!B6)</x:f>
      </x:c>
      <x:c r="F5" s="32" t="str"/>
      <x:c r="G5" s="58" t="str">
        <x:v>Status</x:v>
      </x:c>
      <x:c r="H5" s="32" t="str"/>
    </x:row>
    <x:row r="6">
      <x:c r="A6" s="61" t="e">
        <x:f>HYPERLINK("#'Dashboard'!A1","← Dashboard")</x:f>
      </x:c>
      <x:c r="B6" s="61" t="e">
        <x:f>HYPERLINK("#'Indice'!A1","Índice")</x:f>
      </x:c>
      <x:c r="C6" s="61" t="e">
        <x:f>HYPERLINK("#'Mapa_Selecao'!A1","Mapa de seleção")</x:f>
      </x:c>
    </x:row>
    <x:row r="8">
      <x:c r="A8" s="66" t="str">
        <x:v>Triagem de kit ou acessório</x:v>
      </x:c>
      <x:c r="B8" s="66" t="str"/>
      <x:c r="C8" s="66" t="str"/>
      <x:c r="D8" s="66" t="str"/>
      <x:c r="E8" s="66" t="str"/>
    </x:row>
    <x:row r="9">
      <x:c r="A9" s="20" t="str">
        <x:v>Pergunta de triagem</x:v>
      </x:c>
      <x:c r="B9" s="20" t="str">
        <x:v>Resposta</x:v>
      </x:c>
      <x:c r="C9" s="20" t="str">
        <x:v>Alerta / incerteza</x:v>
      </x:c>
      <x:c r="D9" s="20" t="str">
        <x:v>Impacto no conceito</x:v>
      </x:c>
      <x:c r="E9" s="20" t="str">
        <x:v>Encaminhamento</x:v>
      </x:c>
    </x:row>
    <x:row r="10">
      <x:c r="A10" t="str">
        <x:v>O kit combina itens de fornecedores diferentes?</x:v>
      </x:c>
      <x:c r="B10" t="str"/>
      <x:c r="C10" t="str"/>
      <x:c r="D10" t="str"/>
      <x:c r="E10" t="str"/>
    </x:row>
    <x:row r="11">
      <x:c r="A11" t="str">
        <x:v>Algum item é estéril?</x:v>
      </x:c>
      <x:c r="B11" t="str"/>
      <x:c r="C11" t="str"/>
      <x:c r="D11" t="str"/>
      <x:c r="E11" t="str"/>
    </x:row>
    <x:row r="12">
      <x:c r="A12" t="str">
        <x:v>Há compatibilidade entre componentes?</x:v>
      </x:c>
      <x:c r="B12" t="str"/>
      <x:c r="C12" t="str"/>
      <x:c r="D12" t="str"/>
      <x:c r="E12" t="str"/>
    </x:row>
    <x:row r="13">
      <x:c r="A13" t="str">
        <x:v>O uso conjunto muda o valor clínico?</x:v>
      </x:c>
      <x:c r="B13" t="str"/>
      <x:c r="C13" t="str"/>
      <x:c r="D13" t="str"/>
      <x:c r="E13" t="str"/>
    </x:row>
    <x:row r="14">
      <x:c r="A14" t="str">
        <x:v>Há risco de apresentação/rotulagem futura?</x:v>
      </x:c>
      <x:c r="B14" t="str"/>
      <x:c r="C14" t="str"/>
      <x:c r="D14" t="str"/>
      <x:c r="E14" t="str"/>
    </x:row>
    <x:row r="15">
      <x:c r="A15" t="str"/>
      <x:c r="B15" t="str"/>
      <x:c r="C15" t="str"/>
      <x:c r="D15" t="str"/>
      <x:c r="E15" t="str"/>
    </x:row>
    <x:row r="16">
      <x:c r="A16" t="str"/>
      <x:c r="B16" t="str"/>
      <x:c r="C16" t="str"/>
      <x:c r="D16" t="str"/>
      <x:c r="E16" t="str"/>
    </x:row>
    <x:row r="17">
      <x:c r="A17" t="str"/>
      <x:c r="B17" t="str"/>
      <x:c r="C17" t="str"/>
      <x:c r="D17" t="str"/>
      <x:c r="E17" t="str"/>
    </x:row>
    <x:row r="18">
      <x:c r="A18" t="str"/>
      <x:c r="B18" t="str"/>
      <x:c r="C18" t="str"/>
      <x:c r="D18" t="str"/>
      <x:c r="E18" t="str"/>
    </x:row>
    <x:row r="19">
      <x:c r="A19" t="str"/>
      <x:c r="B19" t="str"/>
      <x:c r="C19" t="str"/>
      <x:c r="D19" t="str"/>
      <x:c r="E19" t="str"/>
    </x:row>
    <x:row r="20">
      <x:c r="A20" t="str"/>
      <x:c r="B20" t="str"/>
      <x:c r="C20" t="str"/>
      <x:c r="D20" t="str"/>
      <x:c r="E20" t="str"/>
    </x:row>
    <x:row r="21">
      <x:c r="A21" t="str"/>
      <x:c r="B21" t="str"/>
      <x:c r="C21" t="str"/>
      <x:c r="D21" t="str"/>
      <x:c r="E21" t="str"/>
    </x:row>
  </x:sheetData>
  <x:mergeCells>
    <x:mergeCell ref="A1:H1"/>
    <x:mergeCell ref="A2:H2"/>
    <x:mergeCell ref="A8:E8"/>
  </x:mergeCells>
  <x:dataValidations count="2">
    <x:dataValidation type="list" sqref="H5">
      <x:formula1>"Não iniciado,Em preenchimento,Em revisão,Concluído"</x:formula1>
    </x:dataValidation>
    <x:dataValidation type="list" sqref="B10:B21">
      <x:formula1>"Sim,Não,Parcial,Não sei,N/A"</x:formula1>
    </x:dataValidation>
  </x:dataValidations>
  <x:pageMargins left="0.7" right="0.7" top="0.75" bottom="0.75" header="0.3" footer="0.3"/>
</x:worksheet>
</file>

<file path=xl/worksheets/sheet35.xml><?xml version="1.0" encoding="utf-8"?>
<x:worksheet xmlns:x="http://schemas.openxmlformats.org/spreadsheetml/2006/main">
  <x:sheetFormatPr defaultRowHeight="15"/>
  <x:cols>
    <x:col min="1" max="1" width="42" hidden="0" customWidth="1"/>
    <x:col min="2" max="2" width="16" hidden="0" customWidth="1"/>
    <x:col min="3" max="3" width="36" hidden="0" customWidth="1"/>
    <x:col min="4" max="4" width="36" hidden="0" customWidth="1"/>
    <x:col min="5" max="5" width="36" hidden="0" customWidth="1"/>
    <x:col min="6" max="6" width="22" hidden="0" customWidth="1"/>
    <x:col min="7" max="7" width="22" hidden="0" customWidth="1"/>
    <x:col min="8" max="8" width="22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</x:cols>
  <x:sheetData>
    <x:row r="1">
      <x:c r="A1" s="4" t="str">
        <x:v>Triagem de internalização/nacionalização</x:v>
      </x:c>
      <x:c r="B1" s="4"/>
      <x:c r="C1" s="4"/>
      <x:c r="D1" s="4"/>
      <x:c r="E1" s="4"/>
      <x:c r="F1" s="4"/>
      <x:c r="G1" s="4"/>
      <x:c r="H1" s="4"/>
    </x:row>
    <x:row r="2">
      <x:c r="A2" s="11" t="str">
        <x:v>Ferramenta do ciclo de idealização até conceito aprovado. Preencha somente quando aplicável ao produto.</x:v>
      </x:c>
      <x:c r="B2" s="11"/>
      <x:c r="C2" s="11"/>
      <x:c r="D2" s="11"/>
      <x:c r="E2" s="11"/>
      <x:c r="F2" s="11"/>
      <x:c r="G2" s="11"/>
      <x:c r="H2" s="11"/>
    </x:row>
    <x:row r="3">
      <x:c r="A3" s="58" t="str">
        <x:v>Código</x:v>
      </x:c>
      <x:c r="B3" s="32" t="str">
        <x:v>G2_INTER</x:v>
      </x:c>
      <x:c r="C3" s="32" t="str"/>
      <x:c r="D3" s="58" t="str">
        <x:v>Gate</x:v>
      </x:c>
      <x:c r="E3" s="32" t="str">
        <x:v>Gate 2 — Estratégia e Requisitos</x:v>
      </x:c>
      <x:c r="F3" s="32" t="str"/>
      <x:c r="G3" s="58" t="str">
        <x:v>Tipo</x:v>
      </x:c>
      <x:c r="H3" s="32" t="str">
        <x:v>Triagem</x:v>
      </x:c>
    </x:row>
    <x:row r="4">
      <x:c r="A4" s="58" t="str">
        <x:v>Propósito</x:v>
      </x:c>
      <x:c r="B4" s="32" t="str">
        <x:v>Ver se haverá intenção de fabricação interna</x:v>
      </x:c>
      <x:c r="C4" s="32" t="str"/>
      <x:c r="D4" s="58" t="str">
        <x:v>Quando usar</x:v>
      </x:c>
      <x:c r="E4" s="32" t="str">
        <x:v>Conforme pacote inteligente / Mapa_Selecao</x:v>
      </x:c>
      <x:c r="F4" s="32" t="str"/>
      <x:c r="G4" s="58" t="str">
        <x:v>Observações</x:v>
      </x:c>
      <x:c r="H4" s="32" t="str">
        <x:v>Não substitui projeto detalhado; registra hipóteses, alertas e incertezas.</x:v>
      </x:c>
    </x:row>
    <x:row r="5">
      <x:c r="A5" s="58" t="str">
        <x:v>Produto</x:v>
      </x:c>
      <x:c r="B5" s="32" t="str">
        <x:f>IF(Dashboard!B4="","",Dashboard!B4)</x:f>
      </x:c>
      <x:c r="C5" s="32" t="str"/>
      <x:c r="D5" s="58" t="str">
        <x:v>Responsável</x:v>
      </x:c>
      <x:c r="E5" s="32" t="str">
        <x:f>IF(Dashboard!B6="","",Dashboard!B6)</x:f>
      </x:c>
      <x:c r="F5" s="32" t="str"/>
      <x:c r="G5" s="58" t="str">
        <x:v>Status</x:v>
      </x:c>
      <x:c r="H5" s="32" t="str"/>
    </x:row>
    <x:row r="6">
      <x:c r="A6" s="61" t="e">
        <x:f>HYPERLINK("#'Dashboard'!A1","← Dashboard")</x:f>
      </x:c>
      <x:c r="B6" s="61" t="e">
        <x:f>HYPERLINK("#'Indice'!A1","Índice")</x:f>
      </x:c>
      <x:c r="C6" s="61" t="e">
        <x:f>HYPERLINK("#'Mapa_Selecao'!A1","Mapa de seleção")</x:f>
      </x:c>
    </x:row>
    <x:row r="8">
      <x:c r="A8" s="66" t="str">
        <x:v>Triagem de internalização/nacionalização</x:v>
      </x:c>
      <x:c r="B8" s="66" t="str"/>
      <x:c r="C8" s="66" t="str"/>
      <x:c r="D8" s="66" t="str"/>
      <x:c r="E8" s="66" t="str"/>
    </x:row>
    <x:row r="9">
      <x:c r="A9" s="20" t="str">
        <x:v>Pergunta de triagem</x:v>
      </x:c>
      <x:c r="B9" s="20" t="str">
        <x:v>Resposta</x:v>
      </x:c>
      <x:c r="C9" s="20" t="str">
        <x:v>Alerta / incerteza</x:v>
      </x:c>
      <x:c r="D9" s="20" t="str">
        <x:v>Impacto no conceito</x:v>
      </x:c>
      <x:c r="E9" s="20" t="str">
        <x:v>Encaminhamento</x:v>
      </x:c>
    </x:row>
    <x:row r="10">
      <x:c r="A10" t="str">
        <x:v>Existe intenção de fabricação interna?</x:v>
      </x:c>
      <x:c r="B10" t="str"/>
      <x:c r="C10" t="str"/>
      <x:c r="D10" t="str"/>
      <x:c r="E10" t="str"/>
    </x:row>
    <x:row r="11">
      <x:c r="A11" t="str">
        <x:v>Há rota produtiva provável?</x:v>
      </x:c>
      <x:c r="B11" t="str"/>
      <x:c r="C11" t="str"/>
      <x:c r="D11" t="str"/>
      <x:c r="E11" t="str"/>
    </x:row>
    <x:row r="12">
      <x:c r="A12" t="str">
        <x:v>Há processo especial provável?</x:v>
      </x:c>
      <x:c r="B12" t="str"/>
      <x:c r="C12" t="str"/>
      <x:c r="D12" t="str"/>
      <x:c r="E12" t="str"/>
    </x:row>
    <x:row r="13">
      <x:c r="A13" t="str">
        <x:v>Há dependência de ferramental?</x:v>
      </x:c>
      <x:c r="B13" t="str"/>
      <x:c r="C13" t="str"/>
      <x:c r="D13" t="str"/>
      <x:c r="E13" t="str"/>
    </x:row>
    <x:row r="14">
      <x:c r="A14" t="str">
        <x:v>A internalização limita o conceito?</x:v>
      </x:c>
      <x:c r="B14" t="str"/>
      <x:c r="C14" t="str"/>
      <x:c r="D14" t="str"/>
      <x:c r="E14" t="str"/>
    </x:row>
    <x:row r="15">
      <x:c r="A15" t="str"/>
      <x:c r="B15" t="str"/>
      <x:c r="C15" t="str"/>
      <x:c r="D15" t="str"/>
      <x:c r="E15" t="str"/>
    </x:row>
    <x:row r="16">
      <x:c r="A16" t="str"/>
      <x:c r="B16" t="str"/>
      <x:c r="C16" t="str"/>
      <x:c r="D16" t="str"/>
      <x:c r="E16" t="str"/>
    </x:row>
    <x:row r="17">
      <x:c r="A17" t="str"/>
      <x:c r="B17" t="str"/>
      <x:c r="C17" t="str"/>
      <x:c r="D17" t="str"/>
      <x:c r="E17" t="str"/>
    </x:row>
    <x:row r="18">
      <x:c r="A18" t="str"/>
      <x:c r="B18" t="str"/>
      <x:c r="C18" t="str"/>
      <x:c r="D18" t="str"/>
      <x:c r="E18" t="str"/>
    </x:row>
    <x:row r="19">
      <x:c r="A19" t="str"/>
      <x:c r="B19" t="str"/>
      <x:c r="C19" t="str"/>
      <x:c r="D19" t="str"/>
      <x:c r="E19" t="str"/>
    </x:row>
    <x:row r="20">
      <x:c r="A20" t="str"/>
      <x:c r="B20" t="str"/>
      <x:c r="C20" t="str"/>
      <x:c r="D20" t="str"/>
      <x:c r="E20" t="str"/>
    </x:row>
    <x:row r="21">
      <x:c r="A21" t="str"/>
      <x:c r="B21" t="str"/>
      <x:c r="C21" t="str"/>
      <x:c r="D21" t="str"/>
      <x:c r="E21" t="str"/>
    </x:row>
  </x:sheetData>
  <x:mergeCells>
    <x:mergeCell ref="A1:H1"/>
    <x:mergeCell ref="A2:H2"/>
    <x:mergeCell ref="A8:E8"/>
  </x:mergeCells>
  <x:dataValidations count="2">
    <x:dataValidation type="list" sqref="H5">
      <x:formula1>"Não iniciado,Em preenchimento,Em revisão,Concluído"</x:formula1>
    </x:dataValidation>
    <x:dataValidation type="list" sqref="B10:B21">
      <x:formula1>"Sim,Não,Parcial,Não sei,N/A"</x:formula1>
    </x:dataValidation>
  </x:dataValidations>
  <x:pageMargins left="0.7" right="0.7" top="0.75" bottom="0.75" header="0.3" footer="0.3"/>
</x:worksheet>
</file>

<file path=xl/worksheets/sheet36.xml><?xml version="1.0" encoding="utf-8"?>
<x:worksheet xmlns:x="http://schemas.openxmlformats.org/spreadsheetml/2006/main">
  <x:sheetFormatPr defaultRowHeight="15"/>
  <x:cols>
    <x:col min="1" max="1" width="42" hidden="0" customWidth="1"/>
    <x:col min="2" max="2" width="16" hidden="0" customWidth="1"/>
    <x:col min="3" max="3" width="36" hidden="0" customWidth="1"/>
    <x:col min="4" max="4" width="36" hidden="0" customWidth="1"/>
    <x:col min="5" max="5" width="36" hidden="0" customWidth="1"/>
    <x:col min="6" max="6" width="22" hidden="0" customWidth="1"/>
    <x:col min="7" max="7" width="22" hidden="0" customWidth="1"/>
    <x:col min="8" max="8" width="22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</x:cols>
  <x:sheetData>
    <x:row r="1">
      <x:c r="A1" s="4" t="str">
        <x:v>Triagem regulatória preliminar</x:v>
      </x:c>
      <x:c r="B1" s="4"/>
      <x:c r="C1" s="4"/>
      <x:c r="D1" s="4"/>
      <x:c r="E1" s="4"/>
      <x:c r="F1" s="4"/>
      <x:c r="G1" s="4"/>
      <x:c r="H1" s="4"/>
    </x:row>
    <x:row r="2">
      <x:c r="A2" s="11" t="str">
        <x:v>Ferramenta do ciclo de idealização até conceito aprovado. Preencha somente quando aplicável ao produto.</x:v>
      </x:c>
      <x:c r="B2" s="11"/>
      <x:c r="C2" s="11"/>
      <x:c r="D2" s="11"/>
      <x:c r="E2" s="11"/>
      <x:c r="F2" s="11"/>
      <x:c r="G2" s="11"/>
      <x:c r="H2" s="11"/>
    </x:row>
    <x:row r="3">
      <x:c r="A3" s="58" t="str">
        <x:v>Código</x:v>
      </x:c>
      <x:c r="B3" s="32" t="str">
        <x:v>G2_REG</x:v>
      </x:c>
      <x:c r="C3" s="32" t="str"/>
      <x:c r="D3" s="58" t="str">
        <x:v>Gate</x:v>
      </x:c>
      <x:c r="E3" s="32" t="str">
        <x:v>Gate 2 — Estratégia e Requisitos</x:v>
      </x:c>
      <x:c r="F3" s="32" t="str"/>
      <x:c r="G3" s="58" t="str">
        <x:v>Tipo</x:v>
      </x:c>
      <x:c r="H3" s="32" t="str">
        <x:v>Triagem</x:v>
      </x:c>
    </x:row>
    <x:row r="4">
      <x:c r="A4" s="58" t="str">
        <x:v>Propósito</x:v>
      </x:c>
      <x:c r="B4" s="32" t="str">
        <x:v>Identificar incertezas regulatórias</x:v>
      </x:c>
      <x:c r="C4" s="32" t="str"/>
      <x:c r="D4" s="58" t="str">
        <x:v>Quando usar</x:v>
      </x:c>
      <x:c r="E4" s="32" t="str">
        <x:v>Conforme pacote inteligente / Mapa_Selecao</x:v>
      </x:c>
      <x:c r="F4" s="32" t="str"/>
      <x:c r="G4" s="58" t="str">
        <x:v>Observações</x:v>
      </x:c>
      <x:c r="H4" s="32" t="str">
        <x:v>Não substitui projeto detalhado; registra hipóteses, alertas e incertezas.</x:v>
      </x:c>
    </x:row>
    <x:row r="5">
      <x:c r="A5" s="58" t="str">
        <x:v>Produto</x:v>
      </x:c>
      <x:c r="B5" s="32" t="str">
        <x:f>IF(Dashboard!B4="","",Dashboard!B4)</x:f>
      </x:c>
      <x:c r="C5" s="32" t="str"/>
      <x:c r="D5" s="58" t="str">
        <x:v>Responsável</x:v>
      </x:c>
      <x:c r="E5" s="32" t="str">
        <x:f>IF(Dashboard!B6="","",Dashboard!B6)</x:f>
      </x:c>
      <x:c r="F5" s="32" t="str"/>
      <x:c r="G5" s="58" t="str">
        <x:v>Status</x:v>
      </x:c>
      <x:c r="H5" s="32" t="str"/>
    </x:row>
    <x:row r="6">
      <x:c r="A6" s="61" t="e">
        <x:f>HYPERLINK("#'Dashboard'!A1","← Dashboard")</x:f>
      </x:c>
      <x:c r="B6" s="61" t="e">
        <x:f>HYPERLINK("#'Indice'!A1","Índice")</x:f>
      </x:c>
      <x:c r="C6" s="61" t="e">
        <x:f>HYPERLINK("#'Mapa_Selecao'!A1","Mapa de seleção")</x:f>
      </x:c>
    </x:row>
    <x:row r="8">
      <x:c r="A8" s="66" t="str">
        <x:v>Triagem regulatória preliminar</x:v>
      </x:c>
      <x:c r="B8" s="66" t="str"/>
      <x:c r="C8" s="66" t="str"/>
      <x:c r="D8" s="66" t="str"/>
      <x:c r="E8" s="66" t="str"/>
    </x:row>
    <x:row r="9">
      <x:c r="A9" s="20" t="str">
        <x:v>Pergunta de triagem</x:v>
      </x:c>
      <x:c r="B9" s="20" t="str">
        <x:v>Resposta</x:v>
      </x:c>
      <x:c r="C9" s="20" t="str">
        <x:v>Alerta / incerteza</x:v>
      </x:c>
      <x:c r="D9" s="20" t="str">
        <x:v>Impacto no conceito</x:v>
      </x:c>
      <x:c r="E9" s="20" t="str">
        <x:v>Encaminhamento</x:v>
      </x:c>
    </x:row>
    <x:row r="10">
      <x:c r="A10" t="str">
        <x:v>Classe regulatória provável conhecida?</x:v>
      </x:c>
      <x:c r="B10" t="str"/>
      <x:c r="C10" t="str"/>
      <x:c r="D10" t="str"/>
      <x:c r="E10" t="str"/>
    </x:row>
    <x:row r="11">
      <x:c r="A11" t="str">
        <x:v>Existe produto similar?</x:v>
      </x:c>
      <x:c r="B11" t="str"/>
      <x:c r="C11" t="str"/>
      <x:c r="D11" t="str"/>
      <x:c r="E11" t="str"/>
    </x:row>
    <x:row r="12">
      <x:c r="A12" t="str">
        <x:v>Há normas já identificadas?</x:v>
      </x:c>
      <x:c r="B12" t="str"/>
      <x:c r="C12" t="str"/>
      <x:c r="D12" t="str"/>
      <x:c r="E12" t="str"/>
    </x:row>
    <x:row r="13">
      <x:c r="A13" t="str">
        <x:v>Há substância/medicamento associado?</x:v>
      </x:c>
      <x:c r="B13" t="str"/>
      <x:c r="C13" t="str"/>
      <x:c r="D13" t="str"/>
      <x:c r="E13" t="str"/>
    </x:row>
    <x:row r="14">
      <x:c r="A14" t="str">
        <x:v>Há incerteza regulatória crítica?</x:v>
      </x:c>
      <x:c r="B14" t="str"/>
      <x:c r="C14" t="str"/>
      <x:c r="D14" t="str"/>
      <x:c r="E14" t="str"/>
    </x:row>
    <x:row r="15">
      <x:c r="A15" t="str"/>
      <x:c r="B15" t="str"/>
      <x:c r="C15" t="str"/>
      <x:c r="D15" t="str"/>
      <x:c r="E15" t="str"/>
    </x:row>
    <x:row r="16">
      <x:c r="A16" t="str"/>
      <x:c r="B16" t="str"/>
      <x:c r="C16" t="str"/>
      <x:c r="D16" t="str"/>
      <x:c r="E16" t="str"/>
    </x:row>
    <x:row r="17">
      <x:c r="A17" t="str"/>
      <x:c r="B17" t="str"/>
      <x:c r="C17" t="str"/>
      <x:c r="D17" t="str"/>
      <x:c r="E17" t="str"/>
    </x:row>
    <x:row r="18">
      <x:c r="A18" t="str"/>
      <x:c r="B18" t="str"/>
      <x:c r="C18" t="str"/>
      <x:c r="D18" t="str"/>
      <x:c r="E18" t="str"/>
    </x:row>
    <x:row r="19">
      <x:c r="A19" t="str"/>
      <x:c r="B19" t="str"/>
      <x:c r="C19" t="str"/>
      <x:c r="D19" t="str"/>
      <x:c r="E19" t="str"/>
    </x:row>
    <x:row r="20">
      <x:c r="A20" t="str"/>
      <x:c r="B20" t="str"/>
      <x:c r="C20" t="str"/>
      <x:c r="D20" t="str"/>
      <x:c r="E20" t="str"/>
    </x:row>
    <x:row r="21">
      <x:c r="A21" t="str"/>
      <x:c r="B21" t="str"/>
      <x:c r="C21" t="str"/>
      <x:c r="D21" t="str"/>
      <x:c r="E21" t="str"/>
    </x:row>
  </x:sheetData>
  <x:mergeCells>
    <x:mergeCell ref="A1:H1"/>
    <x:mergeCell ref="A2:H2"/>
    <x:mergeCell ref="A8:E8"/>
  </x:mergeCells>
  <x:dataValidations count="2">
    <x:dataValidation type="list" sqref="H5">
      <x:formula1>"Não iniciado,Em preenchimento,Em revisão,Concluído"</x:formula1>
    </x:dataValidation>
    <x:dataValidation type="list" sqref="B10:B21">
      <x:formula1>"Sim,Não,Parcial,Não sei,N/A"</x:formula1>
    </x:dataValidation>
  </x:dataValidations>
  <x:pageMargins left="0.7" right="0.7" top="0.75" bottom="0.75" header="0.3" footer="0.3"/>
</x:worksheet>
</file>

<file path=xl/worksheets/sheet37.xml><?xml version="1.0" encoding="utf-8"?>
<x:worksheet xmlns:x="http://schemas.openxmlformats.org/spreadsheetml/2006/main">
  <x:sheetFormatPr defaultRowHeight="15"/>
  <x:cols>
    <x:col min="1" max="1" width="42" hidden="0" customWidth="1"/>
    <x:col min="2" max="2" width="16" hidden="0" customWidth="1"/>
    <x:col min="3" max="3" width="36" hidden="0" customWidth="1"/>
    <x:col min="4" max="4" width="36" hidden="0" customWidth="1"/>
    <x:col min="5" max="5" width="36" hidden="0" customWidth="1"/>
    <x:col min="6" max="6" width="22" hidden="0" customWidth="1"/>
    <x:col min="7" max="7" width="22" hidden="0" customWidth="1"/>
    <x:col min="8" max="8" width="22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</x:cols>
  <x:sheetData>
    <x:row r="1">
      <x:c r="A1" s="4" t="str">
        <x:v>Triagem de contato com paciente</x:v>
      </x:c>
      <x:c r="B1" s="4"/>
      <x:c r="C1" s="4"/>
      <x:c r="D1" s="4"/>
      <x:c r="E1" s="4"/>
      <x:c r="F1" s="4"/>
      <x:c r="G1" s="4"/>
      <x:c r="H1" s="4"/>
    </x:row>
    <x:row r="2">
      <x:c r="A2" s="11" t="str">
        <x:v>Ferramenta do ciclo de idealização até conceito aprovado. Preencha somente quando aplicável ao produto.</x:v>
      </x:c>
      <x:c r="B2" s="11"/>
      <x:c r="C2" s="11"/>
      <x:c r="D2" s="11"/>
      <x:c r="E2" s="11"/>
      <x:c r="F2" s="11"/>
      <x:c r="G2" s="11"/>
      <x:c r="H2" s="11"/>
    </x:row>
    <x:row r="3">
      <x:c r="A3" s="58" t="str">
        <x:v>Código</x:v>
      </x:c>
      <x:c r="B3" s="32" t="str">
        <x:v>G2_CONTATO</x:v>
      </x:c>
      <x:c r="C3" s="32" t="str"/>
      <x:c r="D3" s="58" t="str">
        <x:v>Gate</x:v>
      </x:c>
      <x:c r="E3" s="32" t="str">
        <x:v>Gate 2 — Estratégia e Requisitos</x:v>
      </x:c>
      <x:c r="F3" s="32" t="str"/>
      <x:c r="G3" s="58" t="str">
        <x:v>Tipo</x:v>
      </x:c>
      <x:c r="H3" s="32" t="str">
        <x:v>Triagem</x:v>
      </x:c>
    </x:row>
    <x:row r="4">
      <x:c r="A4" s="58" t="str">
        <x:v>Propósito</x:v>
      </x:c>
      <x:c r="B4" s="32" t="str">
        <x:v>Identificar contato e criticidade</x:v>
      </x:c>
      <x:c r="C4" s="32" t="str"/>
      <x:c r="D4" s="58" t="str">
        <x:v>Quando usar</x:v>
      </x:c>
      <x:c r="E4" s="32" t="str">
        <x:v>Conforme pacote inteligente / Mapa_Selecao</x:v>
      </x:c>
      <x:c r="F4" s="32" t="str"/>
      <x:c r="G4" s="58" t="str">
        <x:v>Observações</x:v>
      </x:c>
      <x:c r="H4" s="32" t="str">
        <x:v>Não substitui projeto detalhado; registra hipóteses, alertas e incertezas.</x:v>
      </x:c>
    </x:row>
    <x:row r="5">
      <x:c r="A5" s="58" t="str">
        <x:v>Produto</x:v>
      </x:c>
      <x:c r="B5" s="32" t="str">
        <x:f>IF(Dashboard!B4="","",Dashboard!B4)</x:f>
      </x:c>
      <x:c r="C5" s="32" t="str"/>
      <x:c r="D5" s="58" t="str">
        <x:v>Responsável</x:v>
      </x:c>
      <x:c r="E5" s="32" t="str">
        <x:f>IF(Dashboard!B6="","",Dashboard!B6)</x:f>
      </x:c>
      <x:c r="F5" s="32" t="str"/>
      <x:c r="G5" s="58" t="str">
        <x:v>Status</x:v>
      </x:c>
      <x:c r="H5" s="32" t="str"/>
    </x:row>
    <x:row r="6">
      <x:c r="A6" s="61" t="e">
        <x:f>HYPERLINK("#'Dashboard'!A1","← Dashboard")</x:f>
      </x:c>
      <x:c r="B6" s="61" t="e">
        <x:f>HYPERLINK("#'Indice'!A1","Índice")</x:f>
      </x:c>
      <x:c r="C6" s="61" t="e">
        <x:f>HYPERLINK("#'Mapa_Selecao'!A1","Mapa de seleção")</x:f>
      </x:c>
    </x:row>
    <x:row r="8">
      <x:c r="A8" s="66" t="str">
        <x:v>Triagem de contato com paciente</x:v>
      </x:c>
      <x:c r="B8" s="66" t="str"/>
      <x:c r="C8" s="66" t="str"/>
      <x:c r="D8" s="66" t="str"/>
      <x:c r="E8" s="66" t="str"/>
    </x:row>
    <x:row r="9">
      <x:c r="A9" s="20" t="str">
        <x:v>Pergunta de triagem</x:v>
      </x:c>
      <x:c r="B9" s="20" t="str">
        <x:v>Resposta</x:v>
      </x:c>
      <x:c r="C9" s="20" t="str">
        <x:v>Alerta / incerteza</x:v>
      </x:c>
      <x:c r="D9" s="20" t="str">
        <x:v>Impacto no conceito</x:v>
      </x:c>
      <x:c r="E9" s="20" t="str">
        <x:v>Encaminhamento</x:v>
      </x:c>
    </x:row>
    <x:row r="10">
      <x:c r="A10" t="str">
        <x:v>Há contato com paciente?</x:v>
      </x:c>
      <x:c r="B10" t="str"/>
      <x:c r="C10" t="str"/>
      <x:c r="D10" t="str"/>
      <x:c r="E10" t="str"/>
    </x:row>
    <x:row r="11">
      <x:c r="A11" t="str">
        <x:v>O contato é invasivo?</x:v>
      </x:c>
      <x:c r="B11" t="str"/>
      <x:c r="C11" t="str"/>
      <x:c r="D11" t="str"/>
      <x:c r="E11" t="str"/>
    </x:row>
    <x:row r="12">
      <x:c r="A12" t="str">
        <x:v>Qual duração do contato?</x:v>
      </x:c>
      <x:c r="B12" t="str"/>
      <x:c r="C12" t="str"/>
      <x:c r="D12" t="str"/>
      <x:c r="E12" t="str"/>
    </x:row>
    <x:row r="13">
      <x:c r="A13" t="str">
        <x:v>Há contato com mucosa/sangue/tecido?</x:v>
      </x:c>
      <x:c r="B13" t="str"/>
      <x:c r="C13" t="str"/>
      <x:c r="D13" t="str"/>
      <x:c r="E13" t="str"/>
    </x:row>
    <x:row r="14">
      <x:c r="A14" t="str">
        <x:v>Contato impacta material/esterilidade?</x:v>
      </x:c>
      <x:c r="B14" t="str"/>
      <x:c r="C14" t="str"/>
      <x:c r="D14" t="str"/>
      <x:c r="E14" t="str"/>
    </x:row>
    <x:row r="15">
      <x:c r="A15" t="str"/>
      <x:c r="B15" t="str"/>
      <x:c r="C15" t="str"/>
      <x:c r="D15" t="str"/>
      <x:c r="E15" t="str"/>
    </x:row>
    <x:row r="16">
      <x:c r="A16" t="str"/>
      <x:c r="B16" t="str"/>
      <x:c r="C16" t="str"/>
      <x:c r="D16" t="str"/>
      <x:c r="E16" t="str"/>
    </x:row>
    <x:row r="17">
      <x:c r="A17" t="str"/>
      <x:c r="B17" t="str"/>
      <x:c r="C17" t="str"/>
      <x:c r="D17" t="str"/>
      <x:c r="E17" t="str"/>
    </x:row>
    <x:row r="18">
      <x:c r="A18" t="str"/>
      <x:c r="B18" t="str"/>
      <x:c r="C18" t="str"/>
      <x:c r="D18" t="str"/>
      <x:c r="E18" t="str"/>
    </x:row>
    <x:row r="19">
      <x:c r="A19" t="str"/>
      <x:c r="B19" t="str"/>
      <x:c r="C19" t="str"/>
      <x:c r="D19" t="str"/>
      <x:c r="E19" t="str"/>
    </x:row>
    <x:row r="20">
      <x:c r="A20" t="str"/>
      <x:c r="B20" t="str"/>
      <x:c r="C20" t="str"/>
      <x:c r="D20" t="str"/>
      <x:c r="E20" t="str"/>
    </x:row>
    <x:row r="21">
      <x:c r="A21" t="str"/>
      <x:c r="B21" t="str"/>
      <x:c r="C21" t="str"/>
      <x:c r="D21" t="str"/>
      <x:c r="E21" t="str"/>
    </x:row>
  </x:sheetData>
  <x:mergeCells>
    <x:mergeCell ref="A1:H1"/>
    <x:mergeCell ref="A2:H2"/>
    <x:mergeCell ref="A8:E8"/>
  </x:mergeCells>
  <x:dataValidations count="2">
    <x:dataValidation type="list" sqref="H5">
      <x:formula1>"Não iniciado,Em preenchimento,Em revisão,Concluído"</x:formula1>
    </x:dataValidation>
    <x:dataValidation type="list" sqref="B10:B21">
      <x:formula1>"Sim,Não,Parcial,Não sei,N/A"</x:formula1>
    </x:dataValidation>
  </x:dataValidations>
  <x:pageMargins left="0.7" right="0.7" top="0.75" bottom="0.75" header="0.3" footer="0.3"/>
</x:worksheet>
</file>

<file path=xl/worksheets/sheet38.xml><?xml version="1.0" encoding="utf-8"?>
<x:worksheet xmlns:x="http://schemas.openxmlformats.org/spreadsheetml/2006/main">
  <x:sheetFormatPr defaultRowHeight="15"/>
  <x:cols>
    <x:col min="1" max="1" width="42" hidden="0" customWidth="1"/>
    <x:col min="2" max="2" width="16" hidden="0" customWidth="1"/>
    <x:col min="3" max="3" width="36" hidden="0" customWidth="1"/>
    <x:col min="4" max="4" width="36" hidden="0" customWidth="1"/>
    <x:col min="5" max="5" width="36" hidden="0" customWidth="1"/>
    <x:col min="6" max="6" width="22" hidden="0" customWidth="1"/>
    <x:col min="7" max="7" width="22" hidden="0" customWidth="1"/>
    <x:col min="8" max="8" width="22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</x:cols>
  <x:sheetData>
    <x:row r="1">
      <x:c r="A1" s="4" t="str">
        <x:v>Triagem de esterilidade</x:v>
      </x:c>
      <x:c r="B1" s="4"/>
      <x:c r="C1" s="4"/>
      <x:c r="D1" s="4"/>
      <x:c r="E1" s="4"/>
      <x:c r="F1" s="4"/>
      <x:c r="G1" s="4"/>
      <x:c r="H1" s="4"/>
    </x:row>
    <x:row r="2">
      <x:c r="A2" s="11" t="str">
        <x:v>Ferramenta do ciclo de idealização até conceito aprovado. Preencha somente quando aplicável ao produto.</x:v>
      </x:c>
      <x:c r="B2" s="11"/>
      <x:c r="C2" s="11"/>
      <x:c r="D2" s="11"/>
      <x:c r="E2" s="11"/>
      <x:c r="F2" s="11"/>
      <x:c r="G2" s="11"/>
      <x:c r="H2" s="11"/>
    </x:row>
    <x:row r="3">
      <x:c r="A3" s="58" t="str">
        <x:v>Código</x:v>
      </x:c>
      <x:c r="B3" s="32" t="str">
        <x:v>G2_ESTERIL</x:v>
      </x:c>
      <x:c r="C3" s="32" t="str"/>
      <x:c r="D3" s="58" t="str">
        <x:v>Gate</x:v>
      </x:c>
      <x:c r="E3" s="32" t="str">
        <x:v>Gate 2 — Estratégia e Requisitos</x:v>
      </x:c>
      <x:c r="F3" s="32" t="str"/>
      <x:c r="G3" s="58" t="str">
        <x:v>Tipo</x:v>
      </x:c>
      <x:c r="H3" s="32" t="str">
        <x:v>Triagem</x:v>
      </x:c>
    </x:row>
    <x:row r="4">
      <x:c r="A4" s="58" t="str">
        <x:v>Propósito</x:v>
      </x:c>
      <x:c r="B4" s="32" t="str">
        <x:v>Identificar possível necessidade de esterilidade</x:v>
      </x:c>
      <x:c r="C4" s="32" t="str"/>
      <x:c r="D4" s="58" t="str">
        <x:v>Quando usar</x:v>
      </x:c>
      <x:c r="E4" s="32" t="str">
        <x:v>Conforme pacote inteligente / Mapa_Selecao</x:v>
      </x:c>
      <x:c r="F4" s="32" t="str"/>
      <x:c r="G4" s="58" t="str">
        <x:v>Observações</x:v>
      </x:c>
      <x:c r="H4" s="32" t="str">
        <x:v>Não substitui projeto detalhado; registra hipóteses, alertas e incertezas.</x:v>
      </x:c>
    </x:row>
    <x:row r="5">
      <x:c r="A5" s="58" t="str">
        <x:v>Produto</x:v>
      </x:c>
      <x:c r="B5" s="32" t="str">
        <x:f>IF(Dashboard!B4="","",Dashboard!B4)</x:f>
      </x:c>
      <x:c r="C5" s="32" t="str"/>
      <x:c r="D5" s="58" t="str">
        <x:v>Responsável</x:v>
      </x:c>
      <x:c r="E5" s="32" t="str">
        <x:f>IF(Dashboard!B6="","",Dashboard!B6)</x:f>
      </x:c>
      <x:c r="F5" s="32" t="str"/>
      <x:c r="G5" s="58" t="str">
        <x:v>Status</x:v>
      </x:c>
      <x:c r="H5" s="32" t="str"/>
    </x:row>
    <x:row r="6">
      <x:c r="A6" s="61" t="e">
        <x:f>HYPERLINK("#'Dashboard'!A1","← Dashboard")</x:f>
      </x:c>
      <x:c r="B6" s="61" t="e">
        <x:f>HYPERLINK("#'Indice'!A1","Índice")</x:f>
      </x:c>
      <x:c r="C6" s="61" t="e">
        <x:f>HYPERLINK("#'Mapa_Selecao'!A1","Mapa de seleção")</x:f>
      </x:c>
    </x:row>
    <x:row r="8">
      <x:c r="A8" s="66" t="str">
        <x:v>Triagem de esterilidade</x:v>
      </x:c>
      <x:c r="B8" s="66" t="str"/>
      <x:c r="C8" s="66" t="str"/>
      <x:c r="D8" s="66" t="str"/>
      <x:c r="E8" s="66" t="str"/>
    </x:row>
    <x:row r="9">
      <x:c r="A9" s="20" t="str">
        <x:v>Pergunta de triagem</x:v>
      </x:c>
      <x:c r="B9" s="20" t="str">
        <x:v>Resposta</x:v>
      </x:c>
      <x:c r="C9" s="20" t="str">
        <x:v>Alerta / incerteza</x:v>
      </x:c>
      <x:c r="D9" s="20" t="str">
        <x:v>Impacto no conceito</x:v>
      </x:c>
      <x:c r="E9" s="20" t="str">
        <x:v>Encaminhamento</x:v>
      </x:c>
    </x:row>
    <x:row r="10">
      <x:c r="A10" t="str">
        <x:v>O produto precisa ser estéril?</x:v>
      </x:c>
      <x:c r="B10" t="str"/>
      <x:c r="C10" t="str"/>
      <x:c r="D10" t="str"/>
      <x:c r="E10" t="str"/>
    </x:row>
    <x:row r="11">
      <x:c r="A11" t="str">
        <x:v>A esterilidade é incerta?</x:v>
      </x:c>
      <x:c r="B11" t="str"/>
      <x:c r="C11" t="str"/>
      <x:c r="D11" t="str"/>
      <x:c r="E11" t="str"/>
    </x:row>
    <x:row r="12">
      <x:c r="A12" t="str">
        <x:v>Há componente estéril no conjunto?</x:v>
      </x:c>
      <x:c r="B12" t="str"/>
      <x:c r="C12" t="str"/>
      <x:c r="D12" t="str"/>
      <x:c r="E12" t="str"/>
    </x:row>
    <x:row r="13">
      <x:c r="A13" t="str">
        <x:v>A esterilidade impacta embalagem?</x:v>
      </x:c>
      <x:c r="B13" t="str"/>
      <x:c r="C13" t="str"/>
      <x:c r="D13" t="str"/>
      <x:c r="E13" t="str"/>
    </x:row>
    <x:row r="14">
      <x:c r="A14" t="str">
        <x:v>Precisa ser investigado no projeto?</x:v>
      </x:c>
      <x:c r="B14" t="str"/>
      <x:c r="C14" t="str"/>
      <x:c r="D14" t="str"/>
      <x:c r="E14" t="str"/>
    </x:row>
    <x:row r="15">
      <x:c r="A15" t="str"/>
      <x:c r="B15" t="str"/>
      <x:c r="C15" t="str"/>
      <x:c r="D15" t="str"/>
      <x:c r="E15" t="str"/>
    </x:row>
    <x:row r="16">
      <x:c r="A16" t="str"/>
      <x:c r="B16" t="str"/>
      <x:c r="C16" t="str"/>
      <x:c r="D16" t="str"/>
      <x:c r="E16" t="str"/>
    </x:row>
    <x:row r="17">
      <x:c r="A17" t="str"/>
      <x:c r="B17" t="str"/>
      <x:c r="C17" t="str"/>
      <x:c r="D17" t="str"/>
      <x:c r="E17" t="str"/>
    </x:row>
    <x:row r="18">
      <x:c r="A18" t="str"/>
      <x:c r="B18" t="str"/>
      <x:c r="C18" t="str"/>
      <x:c r="D18" t="str"/>
      <x:c r="E18" t="str"/>
    </x:row>
    <x:row r="19">
      <x:c r="A19" t="str"/>
      <x:c r="B19" t="str"/>
      <x:c r="C19" t="str"/>
      <x:c r="D19" t="str"/>
      <x:c r="E19" t="str"/>
    </x:row>
    <x:row r="20">
      <x:c r="A20" t="str"/>
      <x:c r="B20" t="str"/>
      <x:c r="C20" t="str"/>
      <x:c r="D20" t="str"/>
      <x:c r="E20" t="str"/>
    </x:row>
    <x:row r="21">
      <x:c r="A21" t="str"/>
      <x:c r="B21" t="str"/>
      <x:c r="C21" t="str"/>
      <x:c r="D21" t="str"/>
      <x:c r="E21" t="str"/>
    </x:row>
  </x:sheetData>
  <x:mergeCells>
    <x:mergeCell ref="A1:H1"/>
    <x:mergeCell ref="A2:H2"/>
    <x:mergeCell ref="A8:E8"/>
  </x:mergeCells>
  <x:dataValidations count="2">
    <x:dataValidation type="list" sqref="H5">
      <x:formula1>"Não iniciado,Em preenchimento,Em revisão,Concluído"</x:formula1>
    </x:dataValidation>
    <x:dataValidation type="list" sqref="B10:B21">
      <x:formula1>"Sim,Não,Parcial,Não sei,N/A"</x:formula1>
    </x:dataValidation>
  </x:dataValidations>
  <x:pageMargins left="0.7" right="0.7" top="0.75" bottom="0.75" header="0.3" footer="0.3"/>
</x:worksheet>
</file>

<file path=xl/worksheets/sheet39.xml><?xml version="1.0" encoding="utf-8"?>
<x:worksheet xmlns:x="http://schemas.openxmlformats.org/spreadsheetml/2006/main">
  <x:sheetFormatPr defaultRowHeight="15"/>
  <x:cols>
    <x:col min="1" max="1" width="42" hidden="0" customWidth="1"/>
    <x:col min="2" max="2" width="16" hidden="0" customWidth="1"/>
    <x:col min="3" max="3" width="36" hidden="0" customWidth="1"/>
    <x:col min="4" max="4" width="36" hidden="0" customWidth="1"/>
    <x:col min="5" max="5" width="36" hidden="0" customWidth="1"/>
    <x:col min="6" max="6" width="22" hidden="0" customWidth="1"/>
    <x:col min="7" max="7" width="22" hidden="0" customWidth="1"/>
    <x:col min="8" max="8" width="22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</x:cols>
  <x:sheetData>
    <x:row r="1">
      <x:c r="A1" s="4" t="str">
        <x:v>Triagem de uso crítico</x:v>
      </x:c>
      <x:c r="B1" s="4"/>
      <x:c r="C1" s="4"/>
      <x:c r="D1" s="4"/>
      <x:c r="E1" s="4"/>
      <x:c r="F1" s="4"/>
      <x:c r="G1" s="4"/>
      <x:c r="H1" s="4"/>
    </x:row>
    <x:row r="2">
      <x:c r="A2" s="11" t="str">
        <x:v>Ferramenta do ciclo de idealização até conceito aprovado. Preencha somente quando aplicável ao produto.</x:v>
      </x:c>
      <x:c r="B2" s="11"/>
      <x:c r="C2" s="11"/>
      <x:c r="D2" s="11"/>
      <x:c r="E2" s="11"/>
      <x:c r="F2" s="11"/>
      <x:c r="G2" s="11"/>
      <x:c r="H2" s="11"/>
    </x:row>
    <x:row r="3">
      <x:c r="A3" s="58" t="str">
        <x:v>Código</x:v>
      </x:c>
      <x:c r="B3" s="32" t="str">
        <x:v>G2_USOCRIT</x:v>
      </x:c>
      <x:c r="C3" s="32" t="str"/>
      <x:c r="D3" s="58" t="str">
        <x:v>Gate</x:v>
      </x:c>
      <x:c r="E3" s="32" t="str">
        <x:v>Gate 2 — Estratégia e Requisitos</x:v>
      </x:c>
      <x:c r="F3" s="32" t="str"/>
      <x:c r="G3" s="58" t="str">
        <x:v>Tipo</x:v>
      </x:c>
      <x:c r="H3" s="32" t="str">
        <x:v>Triagem</x:v>
      </x:c>
    </x:row>
    <x:row r="4">
      <x:c r="A4" s="58" t="str">
        <x:v>Propósito</x:v>
      </x:c>
      <x:c r="B4" s="32" t="str">
        <x:v>Identificar tarefas críticas</x:v>
      </x:c>
      <x:c r="C4" s="32" t="str"/>
      <x:c r="D4" s="58" t="str">
        <x:v>Quando usar</x:v>
      </x:c>
      <x:c r="E4" s="32" t="str">
        <x:v>Conforme pacote inteligente / Mapa_Selecao</x:v>
      </x:c>
      <x:c r="F4" s="32" t="str"/>
      <x:c r="G4" s="58" t="str">
        <x:v>Observações</x:v>
      </x:c>
      <x:c r="H4" s="32" t="str">
        <x:v>Não substitui projeto detalhado; registra hipóteses, alertas e incertezas.</x:v>
      </x:c>
    </x:row>
    <x:row r="5">
      <x:c r="A5" s="58" t="str">
        <x:v>Produto</x:v>
      </x:c>
      <x:c r="B5" s="32" t="str">
        <x:f>IF(Dashboard!B4="","",Dashboard!B4)</x:f>
      </x:c>
      <x:c r="C5" s="32" t="str"/>
      <x:c r="D5" s="58" t="str">
        <x:v>Responsável</x:v>
      </x:c>
      <x:c r="E5" s="32" t="str">
        <x:f>IF(Dashboard!B6="","",Dashboard!B6)</x:f>
      </x:c>
      <x:c r="F5" s="32" t="str"/>
      <x:c r="G5" s="58" t="str">
        <x:v>Status</x:v>
      </x:c>
      <x:c r="H5" s="32" t="str"/>
    </x:row>
    <x:row r="6">
      <x:c r="A6" s="61" t="e">
        <x:f>HYPERLINK("#'Dashboard'!A1","← Dashboard")</x:f>
      </x:c>
      <x:c r="B6" s="61" t="e">
        <x:f>HYPERLINK("#'Indice'!A1","Índice")</x:f>
      </x:c>
      <x:c r="C6" s="61" t="e">
        <x:f>HYPERLINK("#'Mapa_Selecao'!A1","Mapa de seleção")</x:f>
      </x:c>
    </x:row>
    <x:row r="8">
      <x:c r="A8" s="66" t="str">
        <x:v>Triagem de uso crítico</x:v>
      </x:c>
      <x:c r="B8" s="66" t="str"/>
      <x:c r="C8" s="66" t="str"/>
      <x:c r="D8" s="66" t="str"/>
      <x:c r="E8" s="66" t="str"/>
    </x:row>
    <x:row r="9">
      <x:c r="A9" s="20" t="str">
        <x:v>Pergunta de triagem</x:v>
      </x:c>
      <x:c r="B9" s="20" t="str">
        <x:v>Resposta</x:v>
      </x:c>
      <x:c r="C9" s="20" t="str">
        <x:v>Alerta / incerteza</x:v>
      </x:c>
      <x:c r="D9" s="20" t="str">
        <x:v>Impacto no conceito</x:v>
      </x:c>
      <x:c r="E9" s="20" t="str">
        <x:v>Encaminhamento</x:v>
      </x:c>
    </x:row>
    <x:row r="10">
      <x:c r="A10" t="str">
        <x:v>Há etapas críticas de uso?</x:v>
      </x:c>
      <x:c r="B10" t="str"/>
      <x:c r="C10" t="str"/>
      <x:c r="D10" t="str"/>
      <x:c r="E10" t="str"/>
    </x:row>
    <x:row r="11">
      <x:c r="A11" t="str">
        <x:v>Pode ser usado incorretamente?</x:v>
      </x:c>
      <x:c r="B11" t="str"/>
      <x:c r="C11" t="str"/>
      <x:c r="D11" t="str"/>
      <x:c r="E11" t="str"/>
    </x:row>
    <x:row r="12">
      <x:c r="A12" t="str">
        <x:v>Depende de treinamento?</x:v>
      </x:c>
      <x:c r="B12" t="str"/>
      <x:c r="C12" t="str"/>
      <x:c r="D12" t="str"/>
      <x:c r="E12" t="str"/>
    </x:row>
    <x:row r="13">
      <x:c r="A13" t="str">
        <x:v>Pode ser montado errado?</x:v>
      </x:c>
      <x:c r="B13" t="str"/>
      <x:c r="C13" t="str"/>
      <x:c r="D13" t="str"/>
      <x:c r="E13" t="str"/>
    </x:row>
    <x:row r="14">
      <x:c r="A14" t="str">
        <x:v>Há risco de confusão com outro produto?</x:v>
      </x:c>
      <x:c r="B14" t="str"/>
      <x:c r="C14" t="str"/>
      <x:c r="D14" t="str"/>
      <x:c r="E14" t="str"/>
    </x:row>
    <x:row r="15">
      <x:c r="A15" t="str"/>
      <x:c r="B15" t="str"/>
      <x:c r="C15" t="str"/>
      <x:c r="D15" t="str"/>
      <x:c r="E15" t="str"/>
    </x:row>
    <x:row r="16">
      <x:c r="A16" t="str"/>
      <x:c r="B16" t="str"/>
      <x:c r="C16" t="str"/>
      <x:c r="D16" t="str"/>
      <x:c r="E16" t="str"/>
    </x:row>
    <x:row r="17">
      <x:c r="A17" t="str"/>
      <x:c r="B17" t="str"/>
      <x:c r="C17" t="str"/>
      <x:c r="D17" t="str"/>
      <x:c r="E17" t="str"/>
    </x:row>
    <x:row r="18">
      <x:c r="A18" t="str"/>
      <x:c r="B18" t="str"/>
      <x:c r="C18" t="str"/>
      <x:c r="D18" t="str"/>
      <x:c r="E18" t="str"/>
    </x:row>
    <x:row r="19">
      <x:c r="A19" t="str"/>
      <x:c r="B19" t="str"/>
      <x:c r="C19" t="str"/>
      <x:c r="D19" t="str"/>
      <x:c r="E19" t="str"/>
    </x:row>
    <x:row r="20">
      <x:c r="A20" t="str"/>
      <x:c r="B20" t="str"/>
      <x:c r="C20" t="str"/>
      <x:c r="D20" t="str"/>
      <x:c r="E20" t="str"/>
    </x:row>
    <x:row r="21">
      <x:c r="A21" t="str"/>
      <x:c r="B21" t="str"/>
      <x:c r="C21" t="str"/>
      <x:c r="D21" t="str"/>
      <x:c r="E21" t="str"/>
    </x:row>
  </x:sheetData>
  <x:mergeCells>
    <x:mergeCell ref="A1:H1"/>
    <x:mergeCell ref="A2:H2"/>
    <x:mergeCell ref="A8:E8"/>
  </x:mergeCells>
  <x:dataValidations count="2">
    <x:dataValidation type="list" sqref="H5">
      <x:formula1>"Não iniciado,Em preenchimento,Em revisão,Concluído"</x:formula1>
    </x:dataValidation>
    <x:dataValidation type="list" sqref="B10:B21">
      <x:formula1>"Sim,Não,Parcial,Não sei,N/A"</x:formula1>
    </x:dataValidation>
  </x:dataValidations>
  <x:pageMargins left="0.7" right="0.7" top="0.75" bottom="0.75" header="0.3" footer="0.3"/>
</x:worksheet>
</file>

<file path=xl/worksheets/sheet40.xml><?xml version="1.0" encoding="utf-8"?>
<x:worksheet xmlns:x="http://schemas.openxmlformats.org/spreadsheetml/2006/main">
  <x:sheetFormatPr defaultRowHeight="15"/>
  <x:cols>
    <x:col min="1" max="1" width="42" hidden="0" customWidth="1"/>
    <x:col min="2" max="2" width="16" hidden="0" customWidth="1"/>
    <x:col min="3" max="3" width="36" hidden="0" customWidth="1"/>
    <x:col min="4" max="4" width="36" hidden="0" customWidth="1"/>
    <x:col min="5" max="5" width="36" hidden="0" customWidth="1"/>
    <x:col min="6" max="6" width="22" hidden="0" customWidth="1"/>
    <x:col min="7" max="7" width="22" hidden="0" customWidth="1"/>
    <x:col min="8" max="8" width="22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</x:cols>
  <x:sheetData>
    <x:row r="1">
      <x:c r="A1" s="4" t="str">
        <x:v>Triagem produtiva conceitual</x:v>
      </x:c>
      <x:c r="B1" s="4"/>
      <x:c r="C1" s="4"/>
      <x:c r="D1" s="4"/>
      <x:c r="E1" s="4"/>
      <x:c r="F1" s="4"/>
      <x:c r="G1" s="4"/>
      <x:c r="H1" s="4"/>
    </x:row>
    <x:row r="2">
      <x:c r="A2" s="11" t="str">
        <x:v>Ferramenta do ciclo de idealização até conceito aprovado. Preencha somente quando aplicável ao produto.</x:v>
      </x:c>
      <x:c r="B2" s="11"/>
      <x:c r="C2" s="11"/>
      <x:c r="D2" s="11"/>
      <x:c r="E2" s="11"/>
      <x:c r="F2" s="11"/>
      <x:c r="G2" s="11"/>
      <x:c r="H2" s="11"/>
    </x:row>
    <x:row r="3">
      <x:c r="A3" s="58" t="str">
        <x:v>Código</x:v>
      </x:c>
      <x:c r="B3" s="32" t="str">
        <x:v>G2_PROD</x:v>
      </x:c>
      <x:c r="C3" s="32" t="str"/>
      <x:c r="D3" s="58" t="str">
        <x:v>Gate</x:v>
      </x:c>
      <x:c r="E3" s="32" t="str">
        <x:v>Gate 2 — Estratégia e Requisitos</x:v>
      </x:c>
      <x:c r="F3" s="32" t="str"/>
      <x:c r="G3" s="58" t="str">
        <x:v>Tipo</x:v>
      </x:c>
      <x:c r="H3" s="32" t="str">
        <x:v>Triagem</x:v>
      </x:c>
    </x:row>
    <x:row r="4">
      <x:c r="A4" s="58" t="str">
        <x:v>Propósito</x:v>
      </x:c>
      <x:c r="B4" s="32" t="str">
        <x:v>Ver se há rota provável</x:v>
      </x:c>
      <x:c r="C4" s="32" t="str"/>
      <x:c r="D4" s="58" t="str">
        <x:v>Quando usar</x:v>
      </x:c>
      <x:c r="E4" s="32" t="str">
        <x:v>Conforme pacote inteligente / Mapa_Selecao</x:v>
      </x:c>
      <x:c r="F4" s="32" t="str"/>
      <x:c r="G4" s="58" t="str">
        <x:v>Observações</x:v>
      </x:c>
      <x:c r="H4" s="32" t="str">
        <x:v>Não substitui projeto detalhado; registra hipóteses, alertas e incertezas.</x:v>
      </x:c>
    </x:row>
    <x:row r="5">
      <x:c r="A5" s="58" t="str">
        <x:v>Produto</x:v>
      </x:c>
      <x:c r="B5" s="32" t="str">
        <x:f>IF(Dashboard!B4="","",Dashboard!B4)</x:f>
      </x:c>
      <x:c r="C5" s="32" t="str"/>
      <x:c r="D5" s="58" t="str">
        <x:v>Responsável</x:v>
      </x:c>
      <x:c r="E5" s="32" t="str">
        <x:f>IF(Dashboard!B6="","",Dashboard!B6)</x:f>
      </x:c>
      <x:c r="F5" s="32" t="str"/>
      <x:c r="G5" s="58" t="str">
        <x:v>Status</x:v>
      </x:c>
      <x:c r="H5" s="32" t="str"/>
    </x:row>
    <x:row r="6">
      <x:c r="A6" s="61" t="e">
        <x:f>HYPERLINK("#'Dashboard'!A1","← Dashboard")</x:f>
      </x:c>
      <x:c r="B6" s="61" t="e">
        <x:f>HYPERLINK("#'Indice'!A1","Índice")</x:f>
      </x:c>
      <x:c r="C6" s="61" t="e">
        <x:f>HYPERLINK("#'Mapa_Selecao'!A1","Mapa de seleção")</x:f>
      </x:c>
    </x:row>
    <x:row r="8">
      <x:c r="A8" s="66" t="str">
        <x:v>Triagem produtiva conceitual</x:v>
      </x:c>
      <x:c r="B8" s="66" t="str"/>
      <x:c r="C8" s="66" t="str"/>
      <x:c r="D8" s="66" t="str"/>
      <x:c r="E8" s="66" t="str"/>
    </x:row>
    <x:row r="9">
      <x:c r="A9" s="20" t="str">
        <x:v>Pergunta de triagem</x:v>
      </x:c>
      <x:c r="B9" s="20" t="str">
        <x:v>Resposta</x:v>
      </x:c>
      <x:c r="C9" s="20" t="str">
        <x:v>Alerta / incerteza</x:v>
      </x:c>
      <x:c r="D9" s="20" t="str">
        <x:v>Impacto no conceito</x:v>
      </x:c>
      <x:c r="E9" s="20" t="str">
        <x:v>Encaminhamento</x:v>
      </x:c>
    </x:row>
    <x:row r="10">
      <x:c r="A10" t="str">
        <x:v>Existe processo produtivo provável?</x:v>
      </x:c>
      <x:c r="B10" t="str"/>
      <x:c r="C10" t="str"/>
      <x:c r="D10" t="str"/>
      <x:c r="E10" t="str"/>
    </x:row>
    <x:row r="11">
      <x:c r="A11" t="str">
        <x:v>Há geometria complexa?</x:v>
      </x:c>
      <x:c r="B11" t="str"/>
      <x:c r="C11" t="str"/>
      <x:c r="D11" t="str"/>
      <x:c r="E11" t="str"/>
    </x:row>
    <x:row r="12">
      <x:c r="A12" t="str">
        <x:v>Há tolerância crítica provável?</x:v>
      </x:c>
      <x:c r="B12" t="str"/>
      <x:c r="C12" t="str"/>
      <x:c r="D12" t="str"/>
      <x:c r="E12" t="str"/>
    </x:row>
    <x:row r="13">
      <x:c r="A13" t="str">
        <x:v>Há processo especial?</x:v>
      </x:c>
      <x:c r="B13" t="str"/>
      <x:c r="C13" t="str"/>
      <x:c r="D13" t="str"/>
      <x:c r="E13" t="str"/>
    </x:row>
    <x:row r="14">
      <x:c r="A14" t="str">
        <x:v>A rota produtiva é incerteza?</x:v>
      </x:c>
      <x:c r="B14" t="str"/>
      <x:c r="C14" t="str"/>
      <x:c r="D14" t="str"/>
      <x:c r="E14" t="str"/>
    </x:row>
    <x:row r="15">
      <x:c r="A15" t="str"/>
      <x:c r="B15" t="str"/>
      <x:c r="C15" t="str"/>
      <x:c r="D15" t="str"/>
      <x:c r="E15" t="str"/>
    </x:row>
    <x:row r="16">
      <x:c r="A16" t="str"/>
      <x:c r="B16" t="str"/>
      <x:c r="C16" t="str"/>
      <x:c r="D16" t="str"/>
      <x:c r="E16" t="str"/>
    </x:row>
    <x:row r="17">
      <x:c r="A17" t="str"/>
      <x:c r="B17" t="str"/>
      <x:c r="C17" t="str"/>
      <x:c r="D17" t="str"/>
      <x:c r="E17" t="str"/>
    </x:row>
    <x:row r="18">
      <x:c r="A18" t="str"/>
      <x:c r="B18" t="str"/>
      <x:c r="C18" t="str"/>
      <x:c r="D18" t="str"/>
      <x:c r="E18" t="str"/>
    </x:row>
    <x:row r="19">
      <x:c r="A19" t="str"/>
      <x:c r="B19" t="str"/>
      <x:c r="C19" t="str"/>
      <x:c r="D19" t="str"/>
      <x:c r="E19" t="str"/>
    </x:row>
    <x:row r="20">
      <x:c r="A20" t="str"/>
      <x:c r="B20" t="str"/>
      <x:c r="C20" t="str"/>
      <x:c r="D20" t="str"/>
      <x:c r="E20" t="str"/>
    </x:row>
    <x:row r="21">
      <x:c r="A21" t="str"/>
      <x:c r="B21" t="str"/>
      <x:c r="C21" t="str"/>
      <x:c r="D21" t="str"/>
      <x:c r="E21" t="str"/>
    </x:row>
  </x:sheetData>
  <x:mergeCells>
    <x:mergeCell ref="A1:H1"/>
    <x:mergeCell ref="A2:H2"/>
    <x:mergeCell ref="A8:E8"/>
  </x:mergeCells>
  <x:dataValidations count="2">
    <x:dataValidation type="list" sqref="H5">
      <x:formula1>"Não iniciado,Em preenchimento,Em revisão,Concluído"</x:formula1>
    </x:dataValidation>
    <x:dataValidation type="list" sqref="B10:B21">
      <x:formula1>"Sim,Não,Parcial,Não sei,N/A"</x:formula1>
    </x:dataValidation>
  </x:dataValidations>
  <x:pageMargins left="0.7" right="0.7" top="0.75" bottom="0.75" header="0.3" footer="0.3"/>
</x:worksheet>
</file>

<file path=xl/worksheets/sheet41.xml><?xml version="1.0" encoding="utf-8"?>
<x:worksheet xmlns:x="http://schemas.openxmlformats.org/spreadsheetml/2006/main">
  <x:sheetFormatPr defaultRowHeight="15"/>
  <x:cols>
    <x:col min="1" max="1" width="42" hidden="0" customWidth="1"/>
    <x:col min="2" max="2" width="16" hidden="0" customWidth="1"/>
    <x:col min="3" max="3" width="36" hidden="0" customWidth="1"/>
    <x:col min="4" max="4" width="36" hidden="0" customWidth="1"/>
    <x:col min="5" max="5" width="36" hidden="0" customWidth="1"/>
    <x:col min="6" max="6" width="22" hidden="0" customWidth="1"/>
    <x:col min="7" max="7" width="22" hidden="0" customWidth="1"/>
    <x:col min="8" max="8" width="22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</x:cols>
  <x:sheetData>
    <x:row r="1">
      <x:c r="A1" s="4" t="str">
        <x:v>Triagem econômica preliminar</x:v>
      </x:c>
      <x:c r="B1" s="4"/>
      <x:c r="C1" s="4"/>
      <x:c r="D1" s="4"/>
      <x:c r="E1" s="4"/>
      <x:c r="F1" s="4"/>
      <x:c r="G1" s="4"/>
      <x:c r="H1" s="4"/>
    </x:row>
    <x:row r="2">
      <x:c r="A2" s="11" t="str">
        <x:v>Ferramenta do ciclo de idealização até conceito aprovado. Preencha somente quando aplicável ao produto.</x:v>
      </x:c>
      <x:c r="B2" s="11"/>
      <x:c r="C2" s="11"/>
      <x:c r="D2" s="11"/>
      <x:c r="E2" s="11"/>
      <x:c r="F2" s="11"/>
      <x:c r="G2" s="11"/>
      <x:c r="H2" s="11"/>
    </x:row>
    <x:row r="3">
      <x:c r="A3" s="58" t="str">
        <x:v>Código</x:v>
      </x:c>
      <x:c r="B3" s="32" t="str">
        <x:v>G2_ECON</x:v>
      </x:c>
      <x:c r="C3" s="32" t="str"/>
      <x:c r="D3" s="58" t="str">
        <x:v>Gate</x:v>
      </x:c>
      <x:c r="E3" s="32" t="str">
        <x:v>Gate 2 — Estratégia e Requisitos</x:v>
      </x:c>
      <x:c r="F3" s="32" t="str"/>
      <x:c r="G3" s="58" t="str">
        <x:v>Tipo</x:v>
      </x:c>
      <x:c r="H3" s="32" t="str">
        <x:v>Triagem</x:v>
      </x:c>
    </x:row>
    <x:row r="4">
      <x:c r="A4" s="58" t="str">
        <x:v>Propósito</x:v>
      </x:c>
      <x:c r="B4" s="32" t="str">
        <x:v>Ver se custo pode ser crítico</x:v>
      </x:c>
      <x:c r="C4" s="32" t="str"/>
      <x:c r="D4" s="58" t="str">
        <x:v>Quando usar</x:v>
      </x:c>
      <x:c r="E4" s="32" t="str">
        <x:v>Conforme pacote inteligente / Mapa_Selecao</x:v>
      </x:c>
      <x:c r="F4" s="32" t="str"/>
      <x:c r="G4" s="58" t="str">
        <x:v>Observações</x:v>
      </x:c>
      <x:c r="H4" s="32" t="str">
        <x:v>Não substitui projeto detalhado; registra hipóteses, alertas e incertezas.</x:v>
      </x:c>
    </x:row>
    <x:row r="5">
      <x:c r="A5" s="58" t="str">
        <x:v>Produto</x:v>
      </x:c>
      <x:c r="B5" s="32" t="str">
        <x:f>IF(Dashboard!B4="","",Dashboard!B4)</x:f>
      </x:c>
      <x:c r="C5" s="32" t="str"/>
      <x:c r="D5" s="58" t="str">
        <x:v>Responsável</x:v>
      </x:c>
      <x:c r="E5" s="32" t="str">
        <x:f>IF(Dashboard!B6="","",Dashboard!B6)</x:f>
      </x:c>
      <x:c r="F5" s="32" t="str"/>
      <x:c r="G5" s="58" t="str">
        <x:v>Status</x:v>
      </x:c>
      <x:c r="H5" s="32" t="str"/>
    </x:row>
    <x:row r="6">
      <x:c r="A6" s="61" t="e">
        <x:f>HYPERLINK("#'Dashboard'!A1","← Dashboard")</x:f>
      </x:c>
      <x:c r="B6" s="61" t="e">
        <x:f>HYPERLINK("#'Indice'!A1","Índice")</x:f>
      </x:c>
      <x:c r="C6" s="61" t="e">
        <x:f>HYPERLINK("#'Mapa_Selecao'!A1","Mapa de seleção")</x:f>
      </x:c>
    </x:row>
    <x:row r="8">
      <x:c r="A8" s="66" t="str">
        <x:v>Triagem econômica preliminar</x:v>
      </x:c>
      <x:c r="B8" s="66" t="str"/>
      <x:c r="C8" s="66" t="str"/>
      <x:c r="D8" s="66" t="str"/>
      <x:c r="E8" s="66" t="str"/>
    </x:row>
    <x:row r="9">
      <x:c r="A9" s="20" t="str">
        <x:v>Pergunta de triagem</x:v>
      </x:c>
      <x:c r="B9" s="20" t="str">
        <x:v>Resposta</x:v>
      </x:c>
      <x:c r="C9" s="20" t="str">
        <x:v>Alerta / incerteza</x:v>
      </x:c>
      <x:c r="D9" s="20" t="str">
        <x:v>Impacto no conceito</x:v>
      </x:c>
      <x:c r="E9" s="20" t="str">
        <x:v>Encaminhamento</x:v>
      </x:c>
    </x:row>
    <x:row r="10">
      <x:c r="A10" t="str">
        <x:v>Custo unitário é crítico?</x:v>
      </x:c>
      <x:c r="B10" t="str"/>
      <x:c r="C10" t="str"/>
      <x:c r="D10" t="str"/>
      <x:c r="E10" t="str"/>
    </x:row>
    <x:row r="11">
      <x:c r="A11" t="str">
        <x:v>Volume esperado é baixo/médio/alto?</x:v>
      </x:c>
      <x:c r="B11" t="str"/>
      <x:c r="C11" t="str"/>
      <x:c r="D11" t="str"/>
      <x:c r="E11" t="str"/>
    </x:row>
    <x:row r="12">
      <x:c r="A12" t="str">
        <x:v>Há preço de referência?</x:v>
      </x:c>
      <x:c r="B12" t="str"/>
      <x:c r="C12" t="str"/>
      <x:c r="D12" t="str"/>
      <x:c r="E12" t="str"/>
    </x:row>
    <x:row r="13">
      <x:c r="A13" t="str">
        <x:v>Há importação envolvida?</x:v>
      </x:c>
      <x:c r="B13" t="str"/>
      <x:c r="C13" t="str"/>
      <x:c r="D13" t="str"/>
      <x:c r="E13" t="str"/>
    </x:row>
    <x:row r="14">
      <x:c r="A14" t="str">
        <x:v>Custo pode inviabilizar?</x:v>
      </x:c>
      <x:c r="B14" t="str"/>
      <x:c r="C14" t="str"/>
      <x:c r="D14" t="str"/>
      <x:c r="E14" t="str"/>
    </x:row>
    <x:row r="15">
      <x:c r="A15" t="str"/>
      <x:c r="B15" t="str"/>
      <x:c r="C15" t="str"/>
      <x:c r="D15" t="str"/>
      <x:c r="E15" t="str"/>
    </x:row>
    <x:row r="16">
      <x:c r="A16" t="str"/>
      <x:c r="B16" t="str"/>
      <x:c r="C16" t="str"/>
      <x:c r="D16" t="str"/>
      <x:c r="E16" t="str"/>
    </x:row>
    <x:row r="17">
      <x:c r="A17" t="str"/>
      <x:c r="B17" t="str"/>
      <x:c r="C17" t="str"/>
      <x:c r="D17" t="str"/>
      <x:c r="E17" t="str"/>
    </x:row>
    <x:row r="18">
      <x:c r="A18" t="str"/>
      <x:c r="B18" t="str"/>
      <x:c r="C18" t="str"/>
      <x:c r="D18" t="str"/>
      <x:c r="E18" t="str"/>
    </x:row>
    <x:row r="19">
      <x:c r="A19" t="str"/>
      <x:c r="B19" t="str"/>
      <x:c r="C19" t="str"/>
      <x:c r="D19" t="str"/>
      <x:c r="E19" t="str"/>
    </x:row>
    <x:row r="20">
      <x:c r="A20" t="str"/>
      <x:c r="B20" t="str"/>
      <x:c r="C20" t="str"/>
      <x:c r="D20" t="str"/>
      <x:c r="E20" t="str"/>
    </x:row>
    <x:row r="21">
      <x:c r="A21" t="str"/>
      <x:c r="B21" t="str"/>
      <x:c r="C21" t="str"/>
      <x:c r="D21" t="str"/>
      <x:c r="E21" t="str"/>
    </x:row>
  </x:sheetData>
  <x:mergeCells>
    <x:mergeCell ref="A1:H1"/>
    <x:mergeCell ref="A2:H2"/>
    <x:mergeCell ref="A8:E8"/>
  </x:mergeCells>
  <x:dataValidations count="2">
    <x:dataValidation type="list" sqref="H5">
      <x:formula1>"Não iniciado,Em preenchimento,Em revisão,Concluído"</x:formula1>
    </x:dataValidation>
    <x:dataValidation type="list" sqref="B10:B21">
      <x:formula1>"Sim,Não,Parcial,Não sei,N/A"</x:formula1>
    </x:dataValidation>
  </x:dataValidations>
  <x:pageMargins left="0.7" right="0.7" top="0.75" bottom="0.75" header="0.3" footer="0.3"/>
</x:worksheet>
</file>

<file path=xl/worksheets/sheet42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18" hidden="0" customWidth="1"/>
    <x:col min="3" max="3" width="42" hidden="0" customWidth="1"/>
    <x:col min="4" max="4" width="14" hidden="0" customWidth="1"/>
    <x:col min="5" max="5" width="28" hidden="0" customWidth="1"/>
    <x:col min="6" max="6" width="42" hidden="0" customWidth="1"/>
    <x:col min="7" max="7" width="42" hidden="0" customWidth="1"/>
    <x:col min="8" max="8" width="22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</x:cols>
  <x:sheetData>
    <x:row r="1">
      <x:c r="A1" s="4" t="str">
        <x:v>Busca externa de soluções</x:v>
      </x:c>
      <x:c r="B1" s="4"/>
      <x:c r="C1" s="4"/>
      <x:c r="D1" s="4"/>
      <x:c r="E1" s="4"/>
      <x:c r="F1" s="4"/>
      <x:c r="G1" s="4"/>
      <x:c r="H1" s="4"/>
    </x:row>
    <x:row r="2">
      <x:c r="A2" s="11" t="str">
        <x:v>Ferramenta do ciclo de idealização até conceito aprovado. Preencha somente quando aplicável ao produto.</x:v>
      </x:c>
      <x:c r="B2" s="11"/>
      <x:c r="C2" s="11"/>
      <x:c r="D2" s="11"/>
      <x:c r="E2" s="11"/>
      <x:c r="F2" s="11"/>
      <x:c r="G2" s="11"/>
      <x:c r="H2" s="11"/>
    </x:row>
    <x:row r="3">
      <x:c r="A3" s="58" t="str">
        <x:v>Código</x:v>
      </x:c>
      <x:c r="B3" s="32" t="str">
        <x:v>G2_BUSCAEXT</x:v>
      </x:c>
      <x:c r="C3" s="32" t="str"/>
      <x:c r="D3" s="58" t="str">
        <x:v>Gate</x:v>
      </x:c>
      <x:c r="E3" s="32" t="str">
        <x:v>Gate 2 — Estratégia e Requisitos</x:v>
      </x:c>
      <x:c r="F3" s="32" t="str"/>
      <x:c r="G3" s="58" t="str">
        <x:v>Tipo</x:v>
      </x:c>
      <x:c r="H3" s="32" t="str">
        <x:v>Pesquisa</x:v>
      </x:c>
    </x:row>
    <x:row r="4">
      <x:c r="A4" s="58" t="str">
        <x:v>Propósito</x:v>
      </x:c>
      <x:c r="B4" s="32" t="str">
        <x:v>Benchmarking, patentes e FTO preliminar</x:v>
      </x:c>
      <x:c r="C4" s="32" t="str"/>
      <x:c r="D4" s="58" t="str">
        <x:v>Quando usar</x:v>
      </x:c>
      <x:c r="E4" s="32" t="str">
        <x:v>Conforme pacote inteligente / Mapa_Selecao</x:v>
      </x:c>
      <x:c r="F4" s="32" t="str"/>
      <x:c r="G4" s="58" t="str">
        <x:v>Observações</x:v>
      </x:c>
      <x:c r="H4" s="32" t="str">
        <x:v>Não substitui projeto detalhado; registra hipóteses, alertas e incertezas.</x:v>
      </x:c>
    </x:row>
    <x:row r="5">
      <x:c r="A5" s="58" t="str">
        <x:v>Produto</x:v>
      </x:c>
      <x:c r="B5" s="32" t="str">
        <x:f>IF(Dashboard!B4="","",Dashboard!B4)</x:f>
      </x:c>
      <x:c r="C5" s="32" t="str"/>
      <x:c r="D5" s="58" t="str">
        <x:v>Responsável</x:v>
      </x:c>
      <x:c r="E5" s="32" t="str">
        <x:f>IF(Dashboard!B6="","",Dashboard!B6)</x:f>
      </x:c>
      <x:c r="F5" s="32" t="str"/>
      <x:c r="G5" s="58" t="str">
        <x:v>Status</x:v>
      </x:c>
      <x:c r="H5" s="32" t="str"/>
    </x:row>
    <x:row r="6">
      <x:c r="A6" s="61" t="e">
        <x:f>HYPERLINK("#'Dashboard'!A1","← Dashboard")</x:f>
      </x:c>
      <x:c r="B6" s="61" t="e">
        <x:f>HYPERLINK("#'Indice'!A1","Índice")</x:f>
      </x:c>
      <x:c r="C6" s="61" t="e">
        <x:f>HYPERLINK("#'Mapa_Selecao'!A1","Mapa de seleção")</x:f>
      </x:c>
    </x:row>
    <x:row r="8">
      <x:c r="A8" s="66" t="str">
        <x:v>Busca externa de soluções</x:v>
      </x:c>
      <x:c r="B8" s="66"/>
      <x:c r="C8" s="66"/>
      <x:c r="D8" s="66"/>
      <x:c r="E8" s="66"/>
      <x:c r="F8" s="66"/>
      <x:c r="G8" s="66"/>
    </x:row>
    <x:row r="9">
      <x:c r="A9" s="20" t="str">
        <x:v>Fonte</x:v>
      </x:c>
      <x:c r="B9" s="20" t="str">
        <x:v>Tipo</x:v>
      </x:c>
      <x:c r="C9" s="20" t="str">
        <x:v>Achado</x:v>
      </x:c>
      <x:c r="D9" s="20" t="str">
        <x:v>Relevância</x:v>
      </x:c>
      <x:c r="E9" s="20" t="str">
        <x:v>Risco/Oportunidade</x:v>
      </x:c>
      <x:c r="F9" s="20" t="str">
        <x:v>Link/Fonte</x:v>
      </x:c>
      <x:c r="G9" s="20" t="str">
        <x:v>Aplicação no conceito</x:v>
      </x:c>
    </x:row>
    <x:row r="10">
      <x:c r="A10" s="37" t="str"/>
      <x:c r="B10" s="37" t="str"/>
      <x:c r="C10" s="37" t="str"/>
      <x:c r="D10" s="37" t="str"/>
      <x:c r="E10" s="37" t="str"/>
      <x:c r="F10" s="37" t="str"/>
      <x:c r="G10" s="37" t="str"/>
    </x:row>
    <x:row r="11">
      <x:c r="A11" s="37" t="str"/>
      <x:c r="B11" s="37" t="str"/>
      <x:c r="C11" s="37" t="str"/>
      <x:c r="D11" s="37" t="str"/>
      <x:c r="E11" s="37" t="str"/>
      <x:c r="F11" s="37" t="str"/>
      <x:c r="G11" s="37" t="str"/>
    </x:row>
    <x:row r="12">
      <x:c r="A12" s="37" t="str"/>
      <x:c r="B12" s="37" t="str"/>
      <x:c r="C12" s="37" t="str"/>
      <x:c r="D12" s="37" t="str"/>
      <x:c r="E12" s="37" t="str"/>
      <x:c r="F12" s="37" t="str"/>
      <x:c r="G12" s="37" t="str"/>
    </x:row>
    <x:row r="13">
      <x:c r="A13" s="37" t="str"/>
      <x:c r="B13" s="37" t="str"/>
      <x:c r="C13" s="37" t="str"/>
      <x:c r="D13" s="37" t="str"/>
      <x:c r="E13" s="37" t="str"/>
      <x:c r="F13" s="37" t="str"/>
      <x:c r="G13" s="37" t="str"/>
    </x:row>
    <x:row r="14">
      <x:c r="A14" s="37" t="str"/>
      <x:c r="B14" s="37" t="str"/>
      <x:c r="C14" s="37" t="str"/>
      <x:c r="D14" s="37" t="str"/>
      <x:c r="E14" s="37" t="str"/>
      <x:c r="F14" s="37" t="str"/>
      <x:c r="G14" s="37" t="str"/>
    </x:row>
    <x:row r="15">
      <x:c r="A15" s="37" t="str"/>
      <x:c r="B15" s="37" t="str"/>
      <x:c r="C15" s="37" t="str"/>
      <x:c r="D15" s="37" t="str"/>
      <x:c r="E15" s="37" t="str"/>
      <x:c r="F15" s="37" t="str"/>
      <x:c r="G15" s="37" t="str"/>
    </x:row>
    <x:row r="16">
      <x:c r="A16" s="37" t="str"/>
      <x:c r="B16" s="37" t="str"/>
      <x:c r="C16" s="37" t="str"/>
      <x:c r="D16" s="37" t="str"/>
      <x:c r="E16" s="37" t="str"/>
      <x:c r="F16" s="37" t="str"/>
      <x:c r="G16" s="37" t="str"/>
    </x:row>
    <x:row r="17">
      <x:c r="A17" s="37" t="str"/>
      <x:c r="B17" s="37" t="str"/>
      <x:c r="C17" s="37" t="str"/>
      <x:c r="D17" s="37" t="str"/>
      <x:c r="E17" s="37" t="str"/>
      <x:c r="F17" s="37" t="str"/>
      <x:c r="G17" s="37" t="str"/>
    </x:row>
    <x:row r="18">
      <x:c r="A18" s="37" t="str"/>
      <x:c r="B18" s="37" t="str"/>
      <x:c r="C18" s="37" t="str"/>
      <x:c r="D18" s="37" t="str"/>
      <x:c r="E18" s="37" t="str"/>
      <x:c r="F18" s="37" t="str"/>
      <x:c r="G18" s="37" t="str"/>
    </x:row>
    <x:row r="19">
      <x:c r="A19" s="37" t="str"/>
      <x:c r="B19" s="37" t="str"/>
      <x:c r="C19" s="37" t="str"/>
      <x:c r="D19" s="37" t="str"/>
      <x:c r="E19" s="37" t="str"/>
      <x:c r="F19" s="37" t="str"/>
      <x:c r="G19" s="37" t="str"/>
    </x:row>
    <x:row r="20">
      <x:c r="A20" s="37" t="str"/>
      <x:c r="B20" s="37" t="str"/>
      <x:c r="C20" s="37" t="str"/>
      <x:c r="D20" s="37" t="str"/>
      <x:c r="E20" s="37" t="str"/>
      <x:c r="F20" s="37" t="str"/>
      <x:c r="G20" s="37" t="str"/>
    </x:row>
    <x:row r="21">
      <x:c r="A21" s="37" t="str"/>
      <x:c r="B21" s="37" t="str"/>
      <x:c r="C21" s="37" t="str"/>
      <x:c r="D21" s="37" t="str"/>
      <x:c r="E21" s="37" t="str"/>
      <x:c r="F21" s="37" t="str"/>
      <x:c r="G21" s="37" t="str"/>
    </x:row>
    <x:row r="22">
      <x:c r="A22" s="37" t="str"/>
      <x:c r="B22" s="37" t="str"/>
      <x:c r="C22" s="37" t="str"/>
      <x:c r="D22" s="37" t="str"/>
      <x:c r="E22" s="37" t="str"/>
      <x:c r="F22" s="37" t="str"/>
      <x:c r="G22" s="37" t="str"/>
    </x:row>
    <x:row r="23">
      <x:c r="A23" s="37" t="str"/>
      <x:c r="B23" s="37" t="str"/>
      <x:c r="C23" s="37" t="str"/>
      <x:c r="D23" s="37" t="str"/>
      <x:c r="E23" s="37" t="str"/>
      <x:c r="F23" s="37" t="str"/>
      <x:c r="G23" s="37" t="str"/>
    </x:row>
    <x:row r="24">
      <x:c r="A24" s="37" t="str"/>
      <x:c r="B24" s="37" t="str"/>
      <x:c r="C24" s="37" t="str"/>
      <x:c r="D24" s="37" t="str"/>
      <x:c r="E24" s="37" t="str"/>
      <x:c r="F24" s="37" t="str"/>
      <x:c r="G24" s="37" t="str"/>
    </x:row>
    <x:row r="25">
      <x:c r="A25" s="37" t="str"/>
      <x:c r="B25" s="37" t="str"/>
      <x:c r="C25" s="37" t="str"/>
      <x:c r="D25" s="37" t="str"/>
      <x:c r="E25" s="37" t="str"/>
      <x:c r="F25" s="37" t="str"/>
      <x:c r="G25" s="37" t="str"/>
    </x:row>
  </x:sheetData>
  <x:mergeCells>
    <x:mergeCell ref="A1:H1"/>
    <x:mergeCell ref="A2:H2"/>
    <x:mergeCell ref="A8:G8"/>
  </x:mergeCells>
  <x:dataValidations count="3">
    <x:dataValidation type="list" sqref="H5">
      <x:formula1>"Não iniciado,Em preenchimento,Em revisão,Concluído"</x:formula1>
    </x:dataValidation>
    <x:dataValidation type="list" sqref="B10:B25">
      <x:formula1>"Benchmarking,Patente,FTO preliminar,Literatura,Fornecedor,Produto similar,Norma/guia"</x:formula1>
    </x:dataValidation>
    <x:dataValidation type="list" sqref="D10:D25">
      <x:formula1>"Baixa,Média,Alta"</x:formula1>
    </x:dataValidation>
  </x:dataValidations>
  <x:pageMargins left="0.7" right="0.7" top="0.75" bottom="0.75" header="0.3" footer="0.3"/>
</x:worksheet>
</file>

<file path=xl/worksheets/sheet43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18" hidden="0" customWidth="1"/>
    <x:col min="3" max="3" width="14" hidden="0" customWidth="1"/>
    <x:col min="4" max="4" width="42" hidden="0" customWidth="1"/>
    <x:col min="5" max="5" width="18" hidden="0" customWidth="1"/>
    <x:col min="6" max="6" width="16" hidden="0" customWidth="1"/>
    <x:col min="7" max="7" width="18" hidden="0" customWidth="1"/>
    <x:col min="8" max="8" width="40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</x:cols>
  <x:sheetData>
    <x:row r="1">
      <x:c r="A1" s="4" t="str">
        <x:v>Mapa atualizado de incertezas</x:v>
      </x:c>
      <x:c r="B1" s="4"/>
      <x:c r="C1" s="4"/>
      <x:c r="D1" s="4"/>
      <x:c r="E1" s="4"/>
      <x:c r="F1" s="4"/>
      <x:c r="G1" s="4"/>
      <x:c r="H1" s="4"/>
    </x:row>
    <x:row r="2">
      <x:c r="A2" s="11" t="str">
        <x:v>Ferramenta do ciclo de idealização até conceito aprovado. Preencha somente quando aplicável ao produto.</x:v>
      </x:c>
      <x:c r="B2" s="11"/>
      <x:c r="C2" s="11"/>
      <x:c r="D2" s="11"/>
      <x:c r="E2" s="11"/>
      <x:c r="F2" s="11"/>
      <x:c r="G2" s="11"/>
      <x:c r="H2" s="11"/>
    </x:row>
    <x:row r="3">
      <x:c r="A3" s="58" t="str">
        <x:v>Código</x:v>
      </x:c>
      <x:c r="B3" s="32" t="str">
        <x:v>G2_INCERT</x:v>
      </x:c>
      <x:c r="C3" s="32" t="str"/>
      <x:c r="D3" s="58" t="str">
        <x:v>Gate</x:v>
      </x:c>
      <x:c r="E3" s="32" t="str">
        <x:v>Gate 2 — Estratégia e Requisitos</x:v>
      </x:c>
      <x:c r="F3" s="32" t="str"/>
      <x:c r="G3" s="58" t="str">
        <x:v>Tipo</x:v>
      </x:c>
      <x:c r="H3" s="32" t="str">
        <x:v>Incerteza</x:v>
      </x:c>
    </x:row>
    <x:row r="4">
      <x:c r="A4" s="58" t="str">
        <x:v>Propósito</x:v>
      </x:c>
      <x:c r="B4" s="32" t="str">
        <x:v>Consolidar alertas</x:v>
      </x:c>
      <x:c r="C4" s="32" t="str"/>
      <x:c r="D4" s="58" t="str">
        <x:v>Quando usar</x:v>
      </x:c>
      <x:c r="E4" s="32" t="str">
        <x:v>Conforme pacote inteligente / Mapa_Selecao</x:v>
      </x:c>
      <x:c r="F4" s="32" t="str"/>
      <x:c r="G4" s="58" t="str">
        <x:v>Observações</x:v>
      </x:c>
      <x:c r="H4" s="32" t="str">
        <x:v>Não substitui projeto detalhado; registra hipóteses, alertas e incertezas.</x:v>
      </x:c>
    </x:row>
    <x:row r="5">
      <x:c r="A5" s="58" t="str">
        <x:v>Produto</x:v>
      </x:c>
      <x:c r="B5" s="32" t="str">
        <x:f>IF(Dashboard!B4="","",Dashboard!B4)</x:f>
      </x:c>
      <x:c r="C5" s="32" t="str"/>
      <x:c r="D5" s="58" t="str">
        <x:v>Responsável</x:v>
      </x:c>
      <x:c r="E5" s="32" t="str">
        <x:f>IF(Dashboard!B6="","",Dashboard!B6)</x:f>
      </x:c>
      <x:c r="F5" s="32" t="str"/>
      <x:c r="G5" s="58" t="str">
        <x:v>Status</x:v>
      </x:c>
      <x:c r="H5" s="32" t="str"/>
    </x:row>
    <x:row r="6">
      <x:c r="A6" s="61" t="e">
        <x:f>HYPERLINK("#'Dashboard'!A1","← Dashboard")</x:f>
      </x:c>
      <x:c r="B6" s="61" t="e">
        <x:f>HYPERLINK("#'Indice'!A1","Índice")</x:f>
      </x:c>
      <x:c r="C6" s="61" t="e">
        <x:f>HYPERLINK("#'Mapa_Selecao'!A1","Mapa de seleção")</x:f>
      </x:c>
    </x:row>
    <x:row r="8">
      <x:c r="A8" s="66" t="str">
        <x:v>Mapa de incertezas</x:v>
      </x:c>
      <x:c r="B8" s="66"/>
      <x:c r="C8" s="66"/>
      <x:c r="D8" s="66"/>
      <x:c r="E8" s="66"/>
      <x:c r="F8" s="66"/>
      <x:c r="G8" s="66"/>
      <x:c r="H8" s="66"/>
    </x:row>
    <x:row r="9">
      <x:c r="A9" s="20" t="str">
        <x:v>Incerteza</x:v>
      </x:c>
      <x:c r="B9" s="20" t="str">
        <x:v>Tipo</x:v>
      </x:c>
      <x:c r="C9" s="20" t="str">
        <x:v>Impacto</x:v>
      </x:c>
      <x:c r="D9" s="20" t="str">
        <x:v>Como investigar</x:v>
      </x:c>
      <x:c r="E9" s="20" t="str">
        <x:v>Responsável</x:v>
      </x:c>
      <x:c r="F9" s="20" t="str">
        <x:v>Prazo</x:v>
      </x:c>
      <x:c r="G9" s="20" t="str">
        <x:v>Status</x:v>
      </x:c>
      <x:c r="H9" s="20" t="str">
        <x:v>Encaminhamento</x:v>
      </x:c>
    </x:row>
    <x:row r="10">
      <x:c r="A10" s="37" t="str"/>
      <x:c r="B10" s="37" t="str"/>
      <x:c r="C10" s="37" t="str"/>
      <x:c r="D10" s="37" t="str"/>
      <x:c r="E10" s="37" t="str"/>
      <x:c r="F10" s="37" t="str"/>
      <x:c r="G10" s="37" t="str"/>
      <x:c r="H10" s="37" t="str"/>
    </x:row>
    <x:row r="11">
      <x:c r="A11" s="37" t="str"/>
      <x:c r="B11" s="37" t="str"/>
      <x:c r="C11" s="37" t="str"/>
      <x:c r="D11" s="37" t="str"/>
      <x:c r="E11" s="37" t="str"/>
      <x:c r="F11" s="37" t="str"/>
      <x:c r="G11" s="37" t="str"/>
      <x:c r="H11" s="37" t="str"/>
    </x:row>
    <x:row r="12">
      <x:c r="A12" s="37" t="str"/>
      <x:c r="B12" s="37" t="str"/>
      <x:c r="C12" s="37" t="str"/>
      <x:c r="D12" s="37" t="str"/>
      <x:c r="E12" s="37" t="str"/>
      <x:c r="F12" s="37" t="str"/>
      <x:c r="G12" s="37" t="str"/>
      <x:c r="H12" s="37" t="str"/>
    </x:row>
    <x:row r="13">
      <x:c r="A13" s="37" t="str"/>
      <x:c r="B13" s="37" t="str"/>
      <x:c r="C13" s="37" t="str"/>
      <x:c r="D13" s="37" t="str"/>
      <x:c r="E13" s="37" t="str"/>
      <x:c r="F13" s="37" t="str"/>
      <x:c r="G13" s="37" t="str"/>
      <x:c r="H13" s="37" t="str"/>
    </x:row>
    <x:row r="14">
      <x:c r="A14" s="37" t="str"/>
      <x:c r="B14" s="37" t="str"/>
      <x:c r="C14" s="37" t="str"/>
      <x:c r="D14" s="37" t="str"/>
      <x:c r="E14" s="37" t="str"/>
      <x:c r="F14" s="37" t="str"/>
      <x:c r="G14" s="37" t="str"/>
      <x:c r="H14" s="37" t="str"/>
    </x:row>
    <x:row r="15">
      <x:c r="A15" s="37" t="str"/>
      <x:c r="B15" s="37" t="str"/>
      <x:c r="C15" s="37" t="str"/>
      <x:c r="D15" s="37" t="str"/>
      <x:c r="E15" s="37" t="str"/>
      <x:c r="F15" s="37" t="str"/>
      <x:c r="G15" s="37" t="str"/>
      <x:c r="H15" s="37" t="str"/>
    </x:row>
    <x:row r="16">
      <x:c r="A16" s="37" t="str"/>
      <x:c r="B16" s="37" t="str"/>
      <x:c r="C16" s="37" t="str"/>
      <x:c r="D16" s="37" t="str"/>
      <x:c r="E16" s="37" t="str"/>
      <x:c r="F16" s="37" t="str"/>
      <x:c r="G16" s="37" t="str"/>
      <x:c r="H16" s="37" t="str"/>
    </x:row>
    <x:row r="17">
      <x:c r="A17" s="37" t="str"/>
      <x:c r="B17" s="37" t="str"/>
      <x:c r="C17" s="37" t="str"/>
      <x:c r="D17" s="37" t="str"/>
      <x:c r="E17" s="37" t="str"/>
      <x:c r="F17" s="37" t="str"/>
      <x:c r="G17" s="37" t="str"/>
      <x:c r="H17" s="37" t="str"/>
    </x:row>
    <x:row r="18">
      <x:c r="A18" s="37" t="str"/>
      <x:c r="B18" s="37" t="str"/>
      <x:c r="C18" s="37" t="str"/>
      <x:c r="D18" s="37" t="str"/>
      <x:c r="E18" s="37" t="str"/>
      <x:c r="F18" s="37" t="str"/>
      <x:c r="G18" s="37" t="str"/>
      <x:c r="H18" s="37" t="str"/>
    </x:row>
    <x:row r="19">
      <x:c r="A19" s="37" t="str"/>
      <x:c r="B19" s="37" t="str"/>
      <x:c r="C19" s="37" t="str"/>
      <x:c r="D19" s="37" t="str"/>
      <x:c r="E19" s="37" t="str"/>
      <x:c r="F19" s="37" t="str"/>
      <x:c r="G19" s="37" t="str"/>
      <x:c r="H19" s="37" t="str"/>
    </x:row>
    <x:row r="20">
      <x:c r="A20" s="37" t="str"/>
      <x:c r="B20" s="37" t="str"/>
      <x:c r="C20" s="37" t="str"/>
      <x:c r="D20" s="37" t="str"/>
      <x:c r="E20" s="37" t="str"/>
      <x:c r="F20" s="37" t="str"/>
      <x:c r="G20" s="37" t="str"/>
      <x:c r="H20" s="37" t="str"/>
    </x:row>
    <x:row r="21">
      <x:c r="A21" s="37" t="str"/>
      <x:c r="B21" s="37" t="str"/>
      <x:c r="C21" s="37" t="str"/>
      <x:c r="D21" s="37" t="str"/>
      <x:c r="E21" s="37" t="str"/>
      <x:c r="F21" s="37" t="str"/>
      <x:c r="G21" s="37" t="str"/>
      <x:c r="H21" s="37" t="str"/>
    </x:row>
    <x:row r="22">
      <x:c r="A22" s="37" t="str"/>
      <x:c r="B22" s="37" t="str"/>
      <x:c r="C22" s="37" t="str"/>
      <x:c r="D22" s="37" t="str"/>
      <x:c r="E22" s="37" t="str"/>
      <x:c r="F22" s="37" t="str"/>
      <x:c r="G22" s="37" t="str"/>
      <x:c r="H22" s="37" t="str"/>
    </x:row>
    <x:row r="23">
      <x:c r="A23" s="37" t="str"/>
      <x:c r="B23" s="37" t="str"/>
      <x:c r="C23" s="37" t="str"/>
      <x:c r="D23" s="37" t="str"/>
      <x:c r="E23" s="37" t="str"/>
      <x:c r="F23" s="37" t="str"/>
      <x:c r="G23" s="37" t="str"/>
      <x:c r="H23" s="37" t="str"/>
    </x:row>
    <x:row r="24">
      <x:c r="A24" s="37" t="str"/>
      <x:c r="B24" s="37" t="str"/>
      <x:c r="C24" s="37" t="str"/>
      <x:c r="D24" s="37" t="str"/>
      <x:c r="E24" s="37" t="str"/>
      <x:c r="F24" s="37" t="str"/>
      <x:c r="G24" s="37" t="str"/>
      <x:c r="H24" s="37" t="str"/>
    </x:row>
    <x:row r="25">
      <x:c r="A25" s="37" t="str"/>
      <x:c r="B25" s="37" t="str"/>
      <x:c r="C25" s="37" t="str"/>
      <x:c r="D25" s="37" t="str"/>
      <x:c r="E25" s="37" t="str"/>
      <x:c r="F25" s="37" t="str"/>
      <x:c r="G25" s="37" t="str"/>
      <x:c r="H25" s="37" t="str"/>
    </x:row>
  </x:sheetData>
  <x:mergeCells>
    <x:mergeCell ref="A1:H1"/>
    <x:mergeCell ref="A2:H2"/>
    <x:mergeCell ref="A8:H8"/>
  </x:mergeCells>
  <x:dataValidations count="4">
    <x:dataValidation type="list" sqref="H5">
      <x:formula1>"Não iniciado,Em preenchimento,Em revisão,Concluído"</x:formula1>
    </x:dataValidation>
    <x:dataValidation type="list" sqref="B10:B25">
      <x:formula1>"Técnica,Clínica,Regulatória,Mercado,Custo,Fornecedor,Uso"</x:formula1>
    </x:dataValidation>
    <x:dataValidation type="list" sqref="C10:C25">
      <x:formula1>"Baixo,Médio,Alto"</x:formula1>
    </x:dataValidation>
    <x:dataValidation type="list" sqref="G10:G25">
      <x:formula1>"Aberta,Em investigação,Reduzida,Fechada"</x:formula1>
    </x:dataValidation>
  </x:dataValidations>
  <x:pageMargins left="0.7" right="0.7" top="0.75" bottom="0.75" header="0.3" footer="0.3"/>
</x:worksheet>
</file>

<file path=xl/worksheets/sheet44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38" hidden="0" customWidth="1"/>
    <x:col min="3" max="3" width="28" hidden="0" customWidth="1"/>
    <x:col min="4" max="4" width="42" hidden="0" customWidth="1"/>
    <x:col min="5" max="5" width="18" hidden="0" customWidth="1"/>
    <x:col min="6" max="6" width="16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</x:cols>
  <x:sheetData>
    <x:row r="1">
      <x:c r="A1" s="4" t="str">
        <x:v>Plano de aprendizagem do conceito</x:v>
      </x:c>
      <x:c r="B1" s="4"/>
      <x:c r="C1" s="4"/>
      <x:c r="D1" s="4"/>
      <x:c r="E1" s="4"/>
      <x:c r="F1" s="4"/>
      <x:c r="G1" s="4"/>
      <x:c r="H1" s="4"/>
    </x:row>
    <x:row r="2">
      <x:c r="A2" s="11" t="str">
        <x:v>Ferramenta do ciclo de idealização até conceito aprovado. Preencha somente quando aplicável ao produto.</x:v>
      </x:c>
      <x:c r="B2" s="11"/>
      <x:c r="C2" s="11"/>
      <x:c r="D2" s="11"/>
      <x:c r="E2" s="11"/>
      <x:c r="F2" s="11"/>
      <x:c r="G2" s="11"/>
      <x:c r="H2" s="11"/>
    </x:row>
    <x:row r="3">
      <x:c r="A3" s="58" t="str">
        <x:v>Código</x:v>
      </x:c>
      <x:c r="B3" s="32" t="str">
        <x:v>G2_APREND</x:v>
      </x:c>
      <x:c r="C3" s="32" t="str"/>
      <x:c r="D3" s="58" t="str">
        <x:v>Gate</x:v>
      </x:c>
      <x:c r="E3" s="32" t="str">
        <x:v>Gate 2 — Estratégia e Requisitos</x:v>
      </x:c>
      <x:c r="F3" s="32" t="str"/>
      <x:c r="G3" s="58" t="str">
        <x:v>Tipo</x:v>
      </x:c>
      <x:c r="H3" s="32" t="str">
        <x:v>Aprendizagem</x:v>
      </x:c>
    </x:row>
    <x:row r="4">
      <x:c r="A4" s="58" t="str">
        <x:v>Propósito</x:v>
      </x:c>
      <x:c r="B4" s="32" t="str">
        <x:v>Definir o que precisa ser investigado</x:v>
      </x:c>
      <x:c r="C4" s="32" t="str"/>
      <x:c r="D4" s="58" t="str">
        <x:v>Quando usar</x:v>
      </x:c>
      <x:c r="E4" s="32" t="str">
        <x:v>Conforme pacote inteligente / Mapa_Selecao</x:v>
      </x:c>
      <x:c r="F4" s="32" t="str"/>
      <x:c r="G4" s="58" t="str">
        <x:v>Observações</x:v>
      </x:c>
      <x:c r="H4" s="32" t="str">
        <x:v>Não substitui projeto detalhado; registra hipóteses, alertas e incertezas.</x:v>
      </x:c>
    </x:row>
    <x:row r="5">
      <x:c r="A5" s="58" t="str">
        <x:v>Produto</x:v>
      </x:c>
      <x:c r="B5" s="32" t="str">
        <x:f>IF(Dashboard!B4="","",Dashboard!B4)</x:f>
      </x:c>
      <x:c r="C5" s="32" t="str"/>
      <x:c r="D5" s="58" t="str">
        <x:v>Responsável</x:v>
      </x:c>
      <x:c r="E5" s="32" t="str">
        <x:f>IF(Dashboard!B6="","",Dashboard!B6)</x:f>
      </x:c>
      <x:c r="F5" s="32" t="str"/>
      <x:c r="G5" s="58" t="str">
        <x:v>Status</x:v>
      </x:c>
      <x:c r="H5" s="32" t="str"/>
    </x:row>
    <x:row r="6">
      <x:c r="A6" s="61" t="e">
        <x:f>HYPERLINK("#'Dashboard'!A1","← Dashboard")</x:f>
      </x:c>
      <x:c r="B6" s="61" t="e">
        <x:f>HYPERLINK("#'Indice'!A1","Índice")</x:f>
      </x:c>
      <x:c r="C6" s="61" t="e">
        <x:f>HYPERLINK("#'Mapa_Selecao'!A1","Mapa de seleção")</x:f>
      </x:c>
    </x:row>
    <x:row r="8">
      <x:c r="A8" s="66" t="str">
        <x:v>Formulário de aplicação da ferramenta</x:v>
      </x:c>
      <x:c r="B8" s="66"/>
      <x:c r="C8" s="66"/>
      <x:c r="D8" s="66"/>
      <x:c r="E8" s="66"/>
      <x:c r="F8" s="66"/>
    </x:row>
    <x:row r="9">
      <x:c r="A9" s="20" t="str">
        <x:v>Item</x:v>
      </x:c>
      <x:c r="B9" s="20" t="str">
        <x:v>Pergunta / campo</x:v>
      </x:c>
      <x:c r="C9" s="20" t="str">
        <x:v>Resposta</x:v>
      </x:c>
      <x:c r="D9" s="20" t="str">
        <x:v>Evidência / observação</x:v>
      </x:c>
      <x:c r="E9" s="20" t="str">
        <x:v>Responsável</x:v>
      </x:c>
      <x:c r="F9" s="20" t="str">
        <x:v>Status</x:v>
      </x:c>
    </x:row>
    <x:row r="10">
      <x:c r="A10" s="32" t="str">
        <x:v>1</x:v>
      </x:c>
      <x:c r="B10" s="32" t="str">
        <x:v>Qual é o objetivo desta ferramenta para este produto?</x:v>
      </x:c>
      <x:c r="C10" s="32" t="str"/>
      <x:c r="D10" s="32" t="str"/>
      <x:c r="E10" s="32" t="str"/>
      <x:c r="F10" s="32" t="str"/>
    </x:row>
    <x:row r="11">
      <x:c r="A11" s="32" t="str">
        <x:v>2</x:v>
      </x:c>
      <x:c r="B11" s="32" t="str">
        <x:v>Quais informações já estão disponíveis?</x:v>
      </x:c>
      <x:c r="C11" s="32" t="str"/>
      <x:c r="D11" s="32" t="str"/>
      <x:c r="E11" s="32" t="str"/>
      <x:c r="F11" s="32" t="str"/>
    </x:row>
    <x:row r="12">
      <x:c r="A12" s="32" t="str">
        <x:v>3</x:v>
      </x:c>
      <x:c r="B12" s="32" t="str">
        <x:v>Quais informações ainda estão pendentes?</x:v>
      </x:c>
      <x:c r="C12" s="32" t="str"/>
      <x:c r="D12" s="32" t="str"/>
      <x:c r="E12" s="32" t="str"/>
      <x:c r="F12" s="32" t="str"/>
    </x:row>
    <x:row r="13">
      <x:c r="A13" s="32" t="str">
        <x:v>4</x:v>
      </x:c>
      <x:c r="B13" s="32" t="str">
        <x:v>Quais achados impactam o conceito?</x:v>
      </x:c>
      <x:c r="C13" s="32" t="str"/>
      <x:c r="D13" s="32" t="str"/>
      <x:c r="E13" s="32" t="str"/>
      <x:c r="F13" s="32" t="str"/>
    </x:row>
    <x:row r="14">
      <x:c r="A14" s="32" t="str">
        <x:v>5</x:v>
      </x:c>
      <x:c r="B14" s="32" t="str">
        <x:v>Quais incertezas devem seguir para o próximo Gate?</x:v>
      </x:c>
      <x:c r="C14" s="32" t="str"/>
      <x:c r="D14" s="32" t="str"/>
      <x:c r="E14" s="32" t="str"/>
      <x:c r="F14" s="32" t="str"/>
    </x:row>
    <x:row r="15">
      <x:c r="A15" s="32"/>
      <x:c r="B15" s="32"/>
      <x:c r="C15" s="32"/>
      <x:c r="D15" s="32"/>
      <x:c r="E15" s="32"/>
      <x:c r="F15" s="32"/>
    </x:row>
    <x:row r="16">
      <x:c r="A16" s="32"/>
      <x:c r="B16" s="32"/>
      <x:c r="C16" s="32"/>
      <x:c r="D16" s="32"/>
      <x:c r="E16" s="32"/>
      <x:c r="F16" s="32"/>
    </x:row>
    <x:row r="17">
      <x:c r="A17" s="32"/>
      <x:c r="B17" s="32"/>
      <x:c r="C17" s="32"/>
      <x:c r="D17" s="32"/>
      <x:c r="E17" s="32"/>
      <x:c r="F17" s="32"/>
    </x:row>
    <x:row r="18">
      <x:c r="A18" s="32"/>
      <x:c r="B18" s="32"/>
      <x:c r="C18" s="32"/>
      <x:c r="D18" s="32"/>
      <x:c r="E18" s="32"/>
      <x:c r="F18" s="32"/>
    </x:row>
    <x:row r="19">
      <x:c r="A19" s="32"/>
      <x:c r="B19" s="32"/>
      <x:c r="C19" s="32"/>
      <x:c r="D19" s="32"/>
      <x:c r="E19" s="32"/>
      <x:c r="F19" s="32"/>
    </x:row>
    <x:row r="20">
      <x:c r="A20" s="32"/>
      <x:c r="B20" s="32"/>
      <x:c r="C20" s="32"/>
      <x:c r="D20" s="32"/>
      <x:c r="E20" s="32"/>
      <x:c r="F20" s="32"/>
    </x:row>
  </x:sheetData>
  <x:mergeCells>
    <x:mergeCell ref="A1:H1"/>
    <x:mergeCell ref="A2:H2"/>
    <x:mergeCell ref="A8:F8"/>
  </x:mergeCells>
  <x:dataValidations count="2">
    <x:dataValidation type="list" sqref="H5">
      <x:formula1>"Não iniciado,Em preenchimento,Em revisão,Concluído"</x:formula1>
    </x:dataValidation>
    <x:dataValidation type="list" sqref="F10:F20">
      <x:formula1>"Não iniciado,Em preenchimento,Concluído,N/A"</x:formula1>
    </x:dataValidation>
  </x:dataValidations>
  <x:pageMargins left="0.7" right="0.7" top="0.75" bottom="0.75" header="0.3" footer="0.3"/>
</x:worksheet>
</file>

<file path=xl/worksheets/sheet45.xml><?xml version="1.0" encoding="utf-8"?>
<x:worksheet xmlns:x="http://schemas.openxmlformats.org/spreadsheetml/2006/main">
  <x:sheetFormatPr defaultRowHeight="15"/>
  <x:cols>
    <x:col min="1" max="1" width="48" hidden="0" customWidth="1"/>
    <x:col min="2" max="2" width="16" hidden="0" customWidth="1"/>
    <x:col min="3" max="3" width="10" hidden="0" customWidth="1"/>
    <x:col min="4" max="4" width="14" hidden="0" customWidth="1"/>
    <x:col min="5" max="5" width="56" hidden="0" customWidth="1"/>
    <x:col min="6" max="6" width="22" hidden="0" customWidth="1"/>
    <x:col min="7" max="7" width="22" hidden="0" customWidth="1"/>
    <x:col min="8" max="8" width="22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</x:cols>
  <x:sheetData>
    <x:row r="1">
      <x:c r="A1" s="4" t="str">
        <x:v>Matriz Go/No-Go — Gate 2</x:v>
      </x:c>
      <x:c r="B1" s="4"/>
      <x:c r="C1" s="4"/>
      <x:c r="D1" s="4"/>
      <x:c r="E1" s="4"/>
      <x:c r="F1" s="4"/>
      <x:c r="G1" s="4"/>
      <x:c r="H1" s="4"/>
    </x:row>
    <x:row r="2">
      <x:c r="A2" s="11" t="str">
        <x:v>Ferramenta do ciclo de idealização até conceito aprovado. Preencha somente quando aplicável ao produto.</x:v>
      </x:c>
      <x:c r="B2" s="11"/>
      <x:c r="C2" s="11"/>
      <x:c r="D2" s="11"/>
      <x:c r="E2" s="11"/>
      <x:c r="F2" s="11"/>
      <x:c r="G2" s="11"/>
      <x:c r="H2" s="11"/>
    </x:row>
    <x:row r="3">
      <x:c r="A3" s="58" t="str">
        <x:v>Código</x:v>
      </x:c>
      <x:c r="B3" s="32" t="str">
        <x:v>G2_GONOGO</x:v>
      </x:c>
      <x:c r="C3" s="32" t="str"/>
      <x:c r="D3" s="58" t="str">
        <x:v>Gate</x:v>
      </x:c>
      <x:c r="E3" s="32" t="str">
        <x:v>Gate 2 — Estratégia e Requisitos</x:v>
      </x:c>
      <x:c r="F3" s="32" t="str"/>
      <x:c r="G3" s="58" t="str">
        <x:v>Tipo</x:v>
      </x:c>
      <x:c r="H3" s="32" t="str">
        <x:v>Decisão</x:v>
      </x:c>
    </x:row>
    <x:row r="4">
      <x:c r="A4" s="58" t="str">
        <x:v>Propósito</x:v>
      </x:c>
      <x:c r="B4" s="32" t="str">
        <x:v>Decidir se a estratégia está adequada</x:v>
      </x:c>
      <x:c r="C4" s="32" t="str"/>
      <x:c r="D4" s="58" t="str">
        <x:v>Quando usar</x:v>
      </x:c>
      <x:c r="E4" s="32" t="str">
        <x:v>Conforme pacote inteligente / Mapa_Selecao</x:v>
      </x:c>
      <x:c r="F4" s="32" t="str"/>
      <x:c r="G4" s="58" t="str">
        <x:v>Observações</x:v>
      </x:c>
      <x:c r="H4" s="32" t="str">
        <x:v>Não substitui projeto detalhado; registra hipóteses, alertas e incertezas.</x:v>
      </x:c>
    </x:row>
    <x:row r="5">
      <x:c r="A5" s="58" t="str">
        <x:v>Produto</x:v>
      </x:c>
      <x:c r="B5" s="32" t="str">
        <x:f>IF(Dashboard!B4="","",Dashboard!B4)</x:f>
      </x:c>
      <x:c r="C5" s="32" t="str"/>
      <x:c r="D5" s="58" t="str">
        <x:v>Responsável</x:v>
      </x:c>
      <x:c r="E5" s="32" t="str">
        <x:f>IF(Dashboard!B6="","",Dashboard!B6)</x:f>
      </x:c>
      <x:c r="F5" s="32" t="str"/>
      <x:c r="G5" s="58" t="str">
        <x:v>Status</x:v>
      </x:c>
      <x:c r="H5" s="32" t="str"/>
    </x:row>
    <x:row r="6">
      <x:c r="A6" s="61" t="e">
        <x:f>HYPERLINK("#'Dashboard'!A1","← Dashboard")</x:f>
      </x:c>
      <x:c r="B6" s="61" t="e">
        <x:f>HYPERLINK("#'Indice'!A1","Índice")</x:f>
      </x:c>
      <x:c r="C6" s="61" t="e">
        <x:f>HYPERLINK("#'Mapa_Selecao'!A1","Mapa de seleção")</x:f>
      </x:c>
    </x:row>
    <x:row r="8">
      <x:c r="A8" s="66" t="str">
        <x:v>Matriz Go/No-Go — Gate 2</x:v>
      </x:c>
      <x:c r="B8" s="66" t="str"/>
      <x:c r="C8" s="66" t="str"/>
      <x:c r="D8" s="66" t="str"/>
      <x:c r="E8" s="66" t="str"/>
    </x:row>
    <x:row r="9">
      <x:c r="A9" s="20" t="str">
        <x:v>Critério</x:v>
      </x:c>
      <x:c r="B9" s="20" t="str">
        <x:v>Resposta</x:v>
      </x:c>
      <x:c r="C9" s="20" t="str">
        <x:v>Peso</x:v>
      </x:c>
      <x:c r="D9" s="20" t="str">
        <x:v>Pontuação</x:v>
      </x:c>
      <x:c r="E9" s="20" t="str">
        <x:v>Evidência / observação</x:v>
      </x:c>
    </x:row>
    <x:row r="10">
      <x:c r="A10" t="str">
        <x:v>Rota de desenvolvimento classificada</x:v>
      </x:c>
      <x:c r="B10" t="str"/>
      <x:c r="C10" t="n">
        <x:v>1</x:v>
      </x:c>
      <x:c r="D10" t="n">
        <x:f>IF(B10="Sim",1,IF(B10="Parcial",0.5,IF(B10="Não",0,"")))*C10</x:f>
        <x:v>0</x:v>
      </x:c>
      <x:c r="E10" t="str"/>
    </x:row>
    <x:row r="11">
      <x:c r="A11" t="str">
        <x:v>Estratégia adequada ao produto</x:v>
      </x:c>
      <x:c r="B11" t="str"/>
      <x:c r="C11" t="n">
        <x:v>1</x:v>
      </x:c>
      <x:c r="D11" t="n">
        <x:f>IF(B11="Sim",1,IF(B11="Parcial",0.5,IF(B11="Não",0,"")))*C11</x:f>
        <x:v>0</x:v>
      </x:c>
      <x:c r="E11" t="str"/>
    </x:row>
    <x:row r="12">
      <x:c r="A12" t="str">
        <x:v>Necessidades priorizadas</x:v>
      </x:c>
      <x:c r="B12" t="str"/>
      <x:c r="C12" t="n">
        <x:v>1</x:v>
      </x:c>
      <x:c r="D12" t="n">
        <x:f>IF(B12="Sim",1,IF(B12="Parcial",0.5,IF(B12="Não",0,"")))*C12</x:f>
        <x:v>0</x:v>
      </x:c>
      <x:c r="E12" t="str"/>
    </x:row>
    <x:row r="13">
      <x:c r="A13" t="str">
        <x:v>QFD/CTQs preliminares aplicáveis</x:v>
      </x:c>
      <x:c r="B13" t="str"/>
      <x:c r="C13" t="n">
        <x:v>1</x:v>
      </x:c>
      <x:c r="D13" t="n">
        <x:f>IF(B13="Sim",1,IF(B13="Parcial",0.5,IF(B13="Não",0,"")))*C13</x:f>
        <x:v>0</x:v>
      </x:c>
      <x:c r="E13" t="str"/>
    </x:row>
    <x:row r="14">
      <x:c r="A14" t="str">
        <x:v>Triagens críticas realizadas</x:v>
      </x:c>
      <x:c r="B14" t="str"/>
      <x:c r="C14" t="n">
        <x:v>1</x:v>
      </x:c>
      <x:c r="D14" t="n">
        <x:f>IF(B14="Sim",1,IF(B14="Parcial",0.5,IF(B14="Não",0,"")))*C14</x:f>
        <x:v>0</x:v>
      </x:c>
      <x:c r="E14" t="str"/>
    </x:row>
    <x:row r="15">
      <x:c r="A15" t="str">
        <x:v>Incertezas registradas</x:v>
      </x:c>
      <x:c r="B15" t="str"/>
      <x:c r="C15" t="n">
        <x:v>1</x:v>
      </x:c>
      <x:c r="D15" t="n">
        <x:f>IF(B15="Sim",1,IF(B15="Parcial",0.5,IF(B15="Não",0,"")))*C15</x:f>
        <x:v>0</x:v>
      </x:c>
      <x:c r="E15" t="str"/>
    </x:row>
    <x:row r="16">
      <x:c r="A16" t="str">
        <x:v>Próxima etapa clara</x:v>
      </x:c>
      <x:c r="B16" t="str"/>
      <x:c r="C16" t="n">
        <x:v>1</x:v>
      </x:c>
      <x:c r="D16" t="n">
        <x:f>IF(B16="Sim",1,IF(B16="Parcial",0.5,IF(B16="Não",0,"")))*C16</x:f>
        <x:v>0</x:v>
      </x:c>
      <x:c r="E16" t="str"/>
    </x:row>
    <x:row r="18">
      <x:c r="A18" s="71" t="str">
        <x:v>Resultado ponderado</x:v>
      </x:c>
      <x:c r="B18" s="71" t="str"/>
      <x:c r="C18" s="71" t="str"/>
      <x:c r="D18" s="74" t="n">
        <x:f>IFERROR(SUM(D10:D16)/SUM(C10:C16),0)</x:f>
        <x:v>0</x:v>
      </x:c>
      <x:c r="E18" s="71" t="str"/>
    </x:row>
    <x:row r="19">
      <x:c r="A19" s="71" t="str">
        <x:v>Decisão sugerida</x:v>
      </x:c>
      <x:c r="B19" s="71" t="str"/>
      <x:c r="C19" s="71" t="str"/>
      <x:c r="D19" s="71" t="str">
        <x:f>IF(D18&gt;=0.75,"Go",IF(D18&gt;=0.55,"Revisar",IF(D18&gt;=0.4,"Pausar","No-Go")))</x:f>
        <x:v>No-Go</x:v>
      </x:c>
      <x:c r="E19" s="71" t="str"/>
    </x:row>
  </x:sheetData>
  <x:mergeCells>
    <x:mergeCell ref="A1:H1"/>
    <x:mergeCell ref="A2:H2"/>
    <x:mergeCell ref="A8:E8"/>
  </x:mergeCells>
  <x:dataValidations count="2">
    <x:dataValidation type="list" sqref="H5">
      <x:formula1>"Não iniciado,Em preenchimento,Em revisão,Concluído"</x:formula1>
    </x:dataValidation>
    <x:dataValidation type="list" sqref="B10:B16">
      <x:formula1>"Sim,Parcial,Não,N/A"</x:formula1>
    </x:dataValidation>
  </x:dataValidations>
  <x:pageMargins left="0.7" right="0.7" top="0.75" bottom="0.75" header="0.3" footer="0.3"/>
</x:worksheet>
</file>

<file path=xl/worksheets/sheet46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42" hidden="0" customWidth="1"/>
    <x:col min="3" max="3" width="42" hidden="0" customWidth="1"/>
    <x:col min="4" max="4" width="36" hidden="0" customWidth="1"/>
    <x:col min="5" max="5" width="18" hidden="0" customWidth="1"/>
    <x:col min="6" max="6" width="36" hidden="0" customWidth="1"/>
    <x:col min="7" max="7" width="22" hidden="0" customWidth="1"/>
    <x:col min="8" max="8" width="22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</x:cols>
  <x:sheetData>
    <x:row r="1">
      <x:c r="A1" s="4" t="str">
        <x:v>Busca interna de soluções</x:v>
      </x:c>
      <x:c r="B1" s="4"/>
      <x:c r="C1" s="4"/>
      <x:c r="D1" s="4"/>
      <x:c r="E1" s="4"/>
      <x:c r="F1" s="4"/>
      <x:c r="G1" s="4"/>
      <x:c r="H1" s="4"/>
    </x:row>
    <x:row r="2">
      <x:c r="A2" s="11" t="str">
        <x:v>Ferramenta do ciclo de idealização até conceito aprovado. Preencha somente quando aplicável ao produto.</x:v>
      </x:c>
      <x:c r="B2" s="11"/>
      <x:c r="C2" s="11"/>
      <x:c r="D2" s="11"/>
      <x:c r="E2" s="11"/>
      <x:c r="F2" s="11"/>
      <x:c r="G2" s="11"/>
      <x:c r="H2" s="11"/>
    </x:row>
    <x:row r="3">
      <x:c r="A3" s="58" t="str">
        <x:v>Código</x:v>
      </x:c>
      <x:c r="B3" s="32" t="str">
        <x:v>G3_BUSCAINT</x:v>
      </x:c>
      <x:c r="C3" s="32" t="str"/>
      <x:c r="D3" s="58" t="str">
        <x:v>Gate</x:v>
      </x:c>
      <x:c r="E3" s="32" t="str">
        <x:v>Gate 3 — Geração de Alternativas</x:v>
      </x:c>
      <x:c r="F3" s="32" t="str"/>
      <x:c r="G3" s="58" t="str">
        <x:v>Tipo</x:v>
      </x:c>
      <x:c r="H3" s="32" t="str">
        <x:v>Ideação</x:v>
      </x:c>
    </x:row>
    <x:row r="4">
      <x:c r="A4" s="58" t="str">
        <x:v>Propósito</x:v>
      </x:c>
      <x:c r="B4" s="32" t="str">
        <x:v>Explorar conhecimento interno</x:v>
      </x:c>
      <x:c r="C4" s="32" t="str"/>
      <x:c r="D4" s="58" t="str">
        <x:v>Quando usar</x:v>
      </x:c>
      <x:c r="E4" s="32" t="str">
        <x:v>Conforme pacote inteligente / Mapa_Selecao</x:v>
      </x:c>
      <x:c r="F4" s="32" t="str"/>
      <x:c r="G4" s="58" t="str">
        <x:v>Observações</x:v>
      </x:c>
      <x:c r="H4" s="32" t="str">
        <x:v>Não substitui projeto detalhado; registra hipóteses, alertas e incertezas.</x:v>
      </x:c>
    </x:row>
    <x:row r="5">
      <x:c r="A5" s="58" t="str">
        <x:v>Produto</x:v>
      </x:c>
      <x:c r="B5" s="32" t="str">
        <x:f>IF(Dashboard!B4="","",Dashboard!B4)</x:f>
      </x:c>
      <x:c r="C5" s="32" t="str"/>
      <x:c r="D5" s="58" t="str">
        <x:v>Responsável</x:v>
      </x:c>
      <x:c r="E5" s="32" t="str">
        <x:f>IF(Dashboard!B6="","",Dashboard!B6)</x:f>
      </x:c>
      <x:c r="F5" s="32" t="str"/>
      <x:c r="G5" s="58" t="str">
        <x:v>Status</x:v>
      </x:c>
      <x:c r="H5" s="32" t="str"/>
    </x:row>
    <x:row r="6">
      <x:c r="A6" s="61" t="e">
        <x:f>HYPERLINK("#'Dashboard'!A1","← Dashboard")</x:f>
      </x:c>
      <x:c r="B6" s="61" t="e">
        <x:f>HYPERLINK("#'Indice'!A1","Índice")</x:f>
      </x:c>
      <x:c r="C6" s="61" t="e">
        <x:f>HYPERLINK("#'Mapa_Selecao'!A1","Mapa de seleção")</x:f>
      </x:c>
    </x:row>
    <x:row r="8">
      <x:c r="A8" s="66" t="str">
        <x:v>Busca interna de soluções</x:v>
      </x:c>
      <x:c r="B8" s="66"/>
      <x:c r="C8" s="66"/>
      <x:c r="D8" s="66"/>
      <x:c r="E8" s="66"/>
      <x:c r="F8" s="66"/>
    </x:row>
    <x:row r="9">
      <x:c r="A9" s="20" t="str">
        <x:v>Fonte interna</x:v>
      </x:c>
      <x:c r="B9" s="20" t="str">
        <x:v>O que existe</x:v>
      </x:c>
      <x:c r="C9" s="20" t="str">
        <x:v>Como pode ajudar</x:v>
      </x:c>
      <x:c r="D9" s="20" t="str">
        <x:v>Limitação</x:v>
      </x:c>
      <x:c r="E9" s="20" t="str">
        <x:v>Responsável</x:v>
      </x:c>
      <x:c r="F9" s="20" t="str">
        <x:v>Ação</x:v>
      </x:c>
    </x:row>
    <x:row r="10">
      <x:c r="A10" s="37" t="str"/>
      <x:c r="B10" s="37" t="str"/>
      <x:c r="C10" s="37" t="str"/>
      <x:c r="D10" s="37" t="str"/>
      <x:c r="E10" s="37" t="str"/>
      <x:c r="F10" s="37" t="str"/>
    </x:row>
    <x:row r="11">
      <x:c r="A11" s="37" t="str"/>
      <x:c r="B11" s="37" t="str"/>
      <x:c r="C11" s="37" t="str"/>
      <x:c r="D11" s="37" t="str"/>
      <x:c r="E11" s="37" t="str"/>
      <x:c r="F11" s="37" t="str"/>
    </x:row>
    <x:row r="12">
      <x:c r="A12" s="37" t="str"/>
      <x:c r="B12" s="37" t="str"/>
      <x:c r="C12" s="37" t="str"/>
      <x:c r="D12" s="37" t="str"/>
      <x:c r="E12" s="37" t="str"/>
      <x:c r="F12" s="37" t="str"/>
    </x:row>
    <x:row r="13">
      <x:c r="A13" s="37" t="str"/>
      <x:c r="B13" s="37" t="str"/>
      <x:c r="C13" s="37" t="str"/>
      <x:c r="D13" s="37" t="str"/>
      <x:c r="E13" s="37" t="str"/>
      <x:c r="F13" s="37" t="str"/>
    </x:row>
    <x:row r="14">
      <x:c r="A14" s="37" t="str"/>
      <x:c r="B14" s="37" t="str"/>
      <x:c r="C14" s="37" t="str"/>
      <x:c r="D14" s="37" t="str"/>
      <x:c r="E14" s="37" t="str"/>
      <x:c r="F14" s="37" t="str"/>
    </x:row>
    <x:row r="15">
      <x:c r="A15" s="37" t="str"/>
      <x:c r="B15" s="37" t="str"/>
      <x:c r="C15" s="37" t="str"/>
      <x:c r="D15" s="37" t="str"/>
      <x:c r="E15" s="37" t="str"/>
      <x:c r="F15" s="37" t="str"/>
    </x:row>
    <x:row r="16">
      <x:c r="A16" s="37" t="str"/>
      <x:c r="B16" s="37" t="str"/>
      <x:c r="C16" s="37" t="str"/>
      <x:c r="D16" s="37" t="str"/>
      <x:c r="E16" s="37" t="str"/>
      <x:c r="F16" s="37" t="str"/>
    </x:row>
    <x:row r="17">
      <x:c r="A17" s="37" t="str"/>
      <x:c r="B17" s="37" t="str"/>
      <x:c r="C17" s="37" t="str"/>
      <x:c r="D17" s="37" t="str"/>
      <x:c r="E17" s="37" t="str"/>
      <x:c r="F17" s="37" t="str"/>
    </x:row>
    <x:row r="18">
      <x:c r="A18" s="37" t="str"/>
      <x:c r="B18" s="37" t="str"/>
      <x:c r="C18" s="37" t="str"/>
      <x:c r="D18" s="37" t="str"/>
      <x:c r="E18" s="37" t="str"/>
      <x:c r="F18" s="37" t="str"/>
    </x:row>
    <x:row r="19">
      <x:c r="A19" s="37" t="str"/>
      <x:c r="B19" s="37" t="str"/>
      <x:c r="C19" s="37" t="str"/>
      <x:c r="D19" s="37" t="str"/>
      <x:c r="E19" s="37" t="str"/>
      <x:c r="F19" s="37" t="str"/>
    </x:row>
    <x:row r="20">
      <x:c r="A20" s="37" t="str"/>
      <x:c r="B20" s="37" t="str"/>
      <x:c r="C20" s="37" t="str"/>
      <x:c r="D20" s="37" t="str"/>
      <x:c r="E20" s="37" t="str"/>
      <x:c r="F20" s="37" t="str"/>
    </x:row>
    <x:row r="21">
      <x:c r="A21" s="37" t="str"/>
      <x:c r="B21" s="37" t="str"/>
      <x:c r="C21" s="37" t="str"/>
      <x:c r="D21" s="37" t="str"/>
      <x:c r="E21" s="37" t="str"/>
      <x:c r="F21" s="37" t="str"/>
    </x:row>
    <x:row r="22">
      <x:c r="A22" s="37" t="str"/>
      <x:c r="B22" s="37" t="str"/>
      <x:c r="C22" s="37" t="str"/>
      <x:c r="D22" s="37" t="str"/>
      <x:c r="E22" s="37" t="str"/>
      <x:c r="F22" s="37" t="str"/>
    </x:row>
    <x:row r="23">
      <x:c r="A23" s="37" t="str"/>
      <x:c r="B23" s="37" t="str"/>
      <x:c r="C23" s="37" t="str"/>
      <x:c r="D23" s="37" t="str"/>
      <x:c r="E23" s="37" t="str"/>
      <x:c r="F23" s="37" t="str"/>
    </x:row>
  </x:sheetData>
  <x:mergeCells>
    <x:mergeCell ref="A1:H1"/>
    <x:mergeCell ref="A2:H2"/>
    <x:mergeCell ref="A8:F8"/>
  </x:mergeCells>
  <x:dataValidations count="1">
    <x:dataValidation type="list" sqref="H5">
      <x:formula1>"Não iniciado,Em preenchimento,Em revisão,Concluído"</x:formula1>
    </x:dataValidation>
  </x:dataValidations>
  <x:pageMargins left="0.7" right="0.7" top="0.75" bottom="0.75" header="0.3" footer="0.3"/>
</x:worksheet>
</file>

<file path=xl/worksheets/sheet47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18" hidden="0" customWidth="1"/>
    <x:col min="3" max="3" width="42" hidden="0" customWidth="1"/>
    <x:col min="4" max="4" width="14" hidden="0" customWidth="1"/>
    <x:col min="5" max="5" width="28" hidden="0" customWidth="1"/>
    <x:col min="6" max="6" width="42" hidden="0" customWidth="1"/>
    <x:col min="7" max="7" width="42" hidden="0" customWidth="1"/>
    <x:col min="8" max="8" width="22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</x:cols>
  <x:sheetData>
    <x:row r="1">
      <x:c r="A1" s="4" t="str">
        <x:v>Busca externa de soluções</x:v>
      </x:c>
      <x:c r="B1" s="4"/>
      <x:c r="C1" s="4"/>
      <x:c r="D1" s="4"/>
      <x:c r="E1" s="4"/>
      <x:c r="F1" s="4"/>
      <x:c r="G1" s="4"/>
      <x:c r="H1" s="4"/>
    </x:row>
    <x:row r="2">
      <x:c r="A2" s="11" t="str">
        <x:v>Ferramenta do ciclo de idealização até conceito aprovado. Preencha somente quando aplicável ao produto.</x:v>
      </x:c>
      <x:c r="B2" s="11"/>
      <x:c r="C2" s="11"/>
      <x:c r="D2" s="11"/>
      <x:c r="E2" s="11"/>
      <x:c r="F2" s="11"/>
      <x:c r="G2" s="11"/>
      <x:c r="H2" s="11"/>
    </x:row>
    <x:row r="3">
      <x:c r="A3" s="58" t="str">
        <x:v>Código</x:v>
      </x:c>
      <x:c r="B3" s="32" t="str">
        <x:v>G3_BUSCAEXT</x:v>
      </x:c>
      <x:c r="C3" s="32" t="str"/>
      <x:c r="D3" s="58" t="str">
        <x:v>Gate</x:v>
      </x:c>
      <x:c r="E3" s="32" t="str">
        <x:v>Gate 3 — Geração de Alternativas</x:v>
      </x:c>
      <x:c r="F3" s="32" t="str"/>
      <x:c r="G3" s="58" t="str">
        <x:v>Tipo</x:v>
      </x:c>
      <x:c r="H3" s="32" t="str">
        <x:v>Ideação</x:v>
      </x:c>
    </x:row>
    <x:row r="4">
      <x:c r="A4" s="58" t="str">
        <x:v>Propósito</x:v>
      </x:c>
      <x:c r="B4" s="32" t="str">
        <x:v>Buscar referências externas</x:v>
      </x:c>
      <x:c r="C4" s="32" t="str"/>
      <x:c r="D4" s="58" t="str">
        <x:v>Quando usar</x:v>
      </x:c>
      <x:c r="E4" s="32" t="str">
        <x:v>Conforme pacote inteligente / Mapa_Selecao</x:v>
      </x:c>
      <x:c r="F4" s="32" t="str"/>
      <x:c r="G4" s="58" t="str">
        <x:v>Observações</x:v>
      </x:c>
      <x:c r="H4" s="32" t="str">
        <x:v>Não substitui projeto detalhado; registra hipóteses, alertas e incertezas.</x:v>
      </x:c>
    </x:row>
    <x:row r="5">
      <x:c r="A5" s="58" t="str">
        <x:v>Produto</x:v>
      </x:c>
      <x:c r="B5" s="32" t="str">
        <x:f>IF(Dashboard!B4="","",Dashboard!B4)</x:f>
      </x:c>
      <x:c r="C5" s="32" t="str"/>
      <x:c r="D5" s="58" t="str">
        <x:v>Responsável</x:v>
      </x:c>
      <x:c r="E5" s="32" t="str">
        <x:f>IF(Dashboard!B6="","",Dashboard!B6)</x:f>
      </x:c>
      <x:c r="F5" s="32" t="str"/>
      <x:c r="G5" s="58" t="str">
        <x:v>Status</x:v>
      </x:c>
      <x:c r="H5" s="32" t="str"/>
    </x:row>
    <x:row r="6">
      <x:c r="A6" s="61" t="e">
        <x:f>HYPERLINK("#'Dashboard'!A1","← Dashboard")</x:f>
      </x:c>
      <x:c r="B6" s="61" t="e">
        <x:f>HYPERLINK("#'Indice'!A1","Índice")</x:f>
      </x:c>
      <x:c r="C6" s="61" t="e">
        <x:f>HYPERLINK("#'Mapa_Selecao'!A1","Mapa de seleção")</x:f>
      </x:c>
    </x:row>
    <x:row r="8">
      <x:c r="A8" s="66" t="str">
        <x:v>Busca externa de soluções</x:v>
      </x:c>
      <x:c r="B8" s="66"/>
      <x:c r="C8" s="66"/>
      <x:c r="D8" s="66"/>
      <x:c r="E8" s="66"/>
      <x:c r="F8" s="66"/>
      <x:c r="G8" s="66"/>
    </x:row>
    <x:row r="9">
      <x:c r="A9" s="20" t="str">
        <x:v>Fonte</x:v>
      </x:c>
      <x:c r="B9" s="20" t="str">
        <x:v>Tipo</x:v>
      </x:c>
      <x:c r="C9" s="20" t="str">
        <x:v>Achado</x:v>
      </x:c>
      <x:c r="D9" s="20" t="str">
        <x:v>Relevância</x:v>
      </x:c>
      <x:c r="E9" s="20" t="str">
        <x:v>Risco/Oportunidade</x:v>
      </x:c>
      <x:c r="F9" s="20" t="str">
        <x:v>Link/Fonte</x:v>
      </x:c>
      <x:c r="G9" s="20" t="str">
        <x:v>Aplicação no conceito</x:v>
      </x:c>
    </x:row>
    <x:row r="10">
      <x:c r="A10" s="37" t="str"/>
      <x:c r="B10" s="37" t="str"/>
      <x:c r="C10" s="37" t="str"/>
      <x:c r="D10" s="37" t="str"/>
      <x:c r="E10" s="37" t="str"/>
      <x:c r="F10" s="37" t="str"/>
      <x:c r="G10" s="37" t="str"/>
    </x:row>
    <x:row r="11">
      <x:c r="A11" s="37" t="str"/>
      <x:c r="B11" s="37" t="str"/>
      <x:c r="C11" s="37" t="str"/>
      <x:c r="D11" s="37" t="str"/>
      <x:c r="E11" s="37" t="str"/>
      <x:c r="F11" s="37" t="str"/>
      <x:c r="G11" s="37" t="str"/>
    </x:row>
    <x:row r="12">
      <x:c r="A12" s="37" t="str"/>
      <x:c r="B12" s="37" t="str"/>
      <x:c r="C12" s="37" t="str"/>
      <x:c r="D12" s="37" t="str"/>
      <x:c r="E12" s="37" t="str"/>
      <x:c r="F12" s="37" t="str"/>
      <x:c r="G12" s="37" t="str"/>
    </x:row>
    <x:row r="13">
      <x:c r="A13" s="37" t="str"/>
      <x:c r="B13" s="37" t="str"/>
      <x:c r="C13" s="37" t="str"/>
      <x:c r="D13" s="37" t="str"/>
      <x:c r="E13" s="37" t="str"/>
      <x:c r="F13" s="37" t="str"/>
      <x:c r="G13" s="37" t="str"/>
    </x:row>
    <x:row r="14">
      <x:c r="A14" s="37" t="str"/>
      <x:c r="B14" s="37" t="str"/>
      <x:c r="C14" s="37" t="str"/>
      <x:c r="D14" s="37" t="str"/>
      <x:c r="E14" s="37" t="str"/>
      <x:c r="F14" s="37" t="str"/>
      <x:c r="G14" s="37" t="str"/>
    </x:row>
    <x:row r="15">
      <x:c r="A15" s="37" t="str"/>
      <x:c r="B15" s="37" t="str"/>
      <x:c r="C15" s="37" t="str"/>
      <x:c r="D15" s="37" t="str"/>
      <x:c r="E15" s="37" t="str"/>
      <x:c r="F15" s="37" t="str"/>
      <x:c r="G15" s="37" t="str"/>
    </x:row>
    <x:row r="16">
      <x:c r="A16" s="37" t="str"/>
      <x:c r="B16" s="37" t="str"/>
      <x:c r="C16" s="37" t="str"/>
      <x:c r="D16" s="37" t="str"/>
      <x:c r="E16" s="37" t="str"/>
      <x:c r="F16" s="37" t="str"/>
      <x:c r="G16" s="37" t="str"/>
    </x:row>
    <x:row r="17">
      <x:c r="A17" s="37" t="str"/>
      <x:c r="B17" s="37" t="str"/>
      <x:c r="C17" s="37" t="str"/>
      <x:c r="D17" s="37" t="str"/>
      <x:c r="E17" s="37" t="str"/>
      <x:c r="F17" s="37" t="str"/>
      <x:c r="G17" s="37" t="str"/>
    </x:row>
    <x:row r="18">
      <x:c r="A18" s="37" t="str"/>
      <x:c r="B18" s="37" t="str"/>
      <x:c r="C18" s="37" t="str"/>
      <x:c r="D18" s="37" t="str"/>
      <x:c r="E18" s="37" t="str"/>
      <x:c r="F18" s="37" t="str"/>
      <x:c r="G18" s="37" t="str"/>
    </x:row>
    <x:row r="19">
      <x:c r="A19" s="37" t="str"/>
      <x:c r="B19" s="37" t="str"/>
      <x:c r="C19" s="37" t="str"/>
      <x:c r="D19" s="37" t="str"/>
      <x:c r="E19" s="37" t="str"/>
      <x:c r="F19" s="37" t="str"/>
      <x:c r="G19" s="37" t="str"/>
    </x:row>
    <x:row r="20">
      <x:c r="A20" s="37" t="str"/>
      <x:c r="B20" s="37" t="str"/>
      <x:c r="C20" s="37" t="str"/>
      <x:c r="D20" s="37" t="str"/>
      <x:c r="E20" s="37" t="str"/>
      <x:c r="F20" s="37" t="str"/>
      <x:c r="G20" s="37" t="str"/>
    </x:row>
    <x:row r="21">
      <x:c r="A21" s="37" t="str"/>
      <x:c r="B21" s="37" t="str"/>
      <x:c r="C21" s="37" t="str"/>
      <x:c r="D21" s="37" t="str"/>
      <x:c r="E21" s="37" t="str"/>
      <x:c r="F21" s="37" t="str"/>
      <x:c r="G21" s="37" t="str"/>
    </x:row>
    <x:row r="22">
      <x:c r="A22" s="37" t="str"/>
      <x:c r="B22" s="37" t="str"/>
      <x:c r="C22" s="37" t="str"/>
      <x:c r="D22" s="37" t="str"/>
      <x:c r="E22" s="37" t="str"/>
      <x:c r="F22" s="37" t="str"/>
      <x:c r="G22" s="37" t="str"/>
    </x:row>
    <x:row r="23">
      <x:c r="A23" s="37" t="str"/>
      <x:c r="B23" s="37" t="str"/>
      <x:c r="C23" s="37" t="str"/>
      <x:c r="D23" s="37" t="str"/>
      <x:c r="E23" s="37" t="str"/>
      <x:c r="F23" s="37" t="str"/>
      <x:c r="G23" s="37" t="str"/>
    </x:row>
    <x:row r="24">
      <x:c r="A24" s="37" t="str"/>
      <x:c r="B24" s="37" t="str"/>
      <x:c r="C24" s="37" t="str"/>
      <x:c r="D24" s="37" t="str"/>
      <x:c r="E24" s="37" t="str"/>
      <x:c r="F24" s="37" t="str"/>
      <x:c r="G24" s="37" t="str"/>
    </x:row>
    <x:row r="25">
      <x:c r="A25" s="37" t="str"/>
      <x:c r="B25" s="37" t="str"/>
      <x:c r="C25" s="37" t="str"/>
      <x:c r="D25" s="37" t="str"/>
      <x:c r="E25" s="37" t="str"/>
      <x:c r="F25" s="37" t="str"/>
      <x:c r="G25" s="37" t="str"/>
    </x:row>
  </x:sheetData>
  <x:mergeCells>
    <x:mergeCell ref="A1:H1"/>
    <x:mergeCell ref="A2:H2"/>
    <x:mergeCell ref="A8:G8"/>
  </x:mergeCells>
  <x:dataValidations count="3">
    <x:dataValidation type="list" sqref="H5">
      <x:formula1>"Não iniciado,Em preenchimento,Em revisão,Concluído"</x:formula1>
    </x:dataValidation>
    <x:dataValidation type="list" sqref="B10:B25">
      <x:formula1>"Benchmarking,Patente,FTO preliminar,Literatura,Fornecedor,Produto similar,Norma/guia"</x:formula1>
    </x:dataValidation>
    <x:dataValidation type="list" sqref="D10:D25">
      <x:formula1>"Baixa,Média,Alta"</x:formula1>
    </x:dataValidation>
  </x:dataValidations>
  <x:pageMargins left="0.7" right="0.7" top="0.75" bottom="0.75" header="0.3" footer="0.3"/>
</x:worksheet>
</file>

<file path=xl/worksheets/sheet48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38" hidden="0" customWidth="1"/>
    <x:col min="3" max="3" width="28" hidden="0" customWidth="1"/>
    <x:col min="4" max="4" width="42" hidden="0" customWidth="1"/>
    <x:col min="5" max="5" width="18" hidden="0" customWidth="1"/>
    <x:col min="6" max="6" width="16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</x:cols>
  <x:sheetData>
    <x:row r="1">
      <x:c r="A1" s="4" t="str">
        <x:v>Mapa mental</x:v>
      </x:c>
      <x:c r="B1" s="4"/>
      <x:c r="C1" s="4"/>
      <x:c r="D1" s="4"/>
      <x:c r="E1" s="4"/>
      <x:c r="F1" s="4"/>
      <x:c r="G1" s="4"/>
      <x:c r="H1" s="4"/>
    </x:row>
    <x:row r="2">
      <x:c r="A2" s="11" t="str">
        <x:v>Ferramenta do ciclo de idealização até conceito aprovado. Preencha somente quando aplicável ao produto.</x:v>
      </x:c>
      <x:c r="B2" s="11"/>
      <x:c r="C2" s="11"/>
      <x:c r="D2" s="11"/>
      <x:c r="E2" s="11"/>
      <x:c r="F2" s="11"/>
      <x:c r="G2" s="11"/>
      <x:c r="H2" s="11"/>
    </x:row>
    <x:row r="3">
      <x:c r="A3" s="58" t="str">
        <x:v>Código</x:v>
      </x:c>
      <x:c r="B3" s="32" t="str">
        <x:v>G3_MENTAL</x:v>
      </x:c>
      <x:c r="C3" s="32" t="str"/>
      <x:c r="D3" s="58" t="str">
        <x:v>Gate</x:v>
      </x:c>
      <x:c r="E3" s="32" t="str">
        <x:v>Gate 3 — Geração de Alternativas</x:v>
      </x:c>
      <x:c r="F3" s="32" t="str"/>
      <x:c r="G3" s="58" t="str">
        <x:v>Tipo</x:v>
      </x:c>
      <x:c r="H3" s="32" t="str">
        <x:v>Ideação</x:v>
      </x:c>
    </x:row>
    <x:row r="4">
      <x:c r="A4" s="58" t="str">
        <x:v>Propósito</x:v>
      </x:c>
      <x:c r="B4" s="32" t="str">
        <x:v>Organizar ideias e caminhos</x:v>
      </x:c>
      <x:c r="C4" s="32" t="str"/>
      <x:c r="D4" s="58" t="str">
        <x:v>Quando usar</x:v>
      </x:c>
      <x:c r="E4" s="32" t="str">
        <x:v>Conforme pacote inteligente / Mapa_Selecao</x:v>
      </x:c>
      <x:c r="F4" s="32" t="str"/>
      <x:c r="G4" s="58" t="str">
        <x:v>Observações</x:v>
      </x:c>
      <x:c r="H4" s="32" t="str">
        <x:v>Não substitui projeto detalhado; registra hipóteses, alertas e incertezas.</x:v>
      </x:c>
    </x:row>
    <x:row r="5">
      <x:c r="A5" s="58" t="str">
        <x:v>Produto</x:v>
      </x:c>
      <x:c r="B5" s="32" t="str">
        <x:f>IF(Dashboard!B4="","",Dashboard!B4)</x:f>
      </x:c>
      <x:c r="C5" s="32" t="str"/>
      <x:c r="D5" s="58" t="str">
        <x:v>Responsável</x:v>
      </x:c>
      <x:c r="E5" s="32" t="str">
        <x:f>IF(Dashboard!B6="","",Dashboard!B6)</x:f>
      </x:c>
      <x:c r="F5" s="32" t="str"/>
      <x:c r="G5" s="58" t="str">
        <x:v>Status</x:v>
      </x:c>
      <x:c r="H5" s="32" t="str"/>
    </x:row>
    <x:row r="6">
      <x:c r="A6" s="61" t="e">
        <x:f>HYPERLINK("#'Dashboard'!A1","← Dashboard")</x:f>
      </x:c>
      <x:c r="B6" s="61" t="e">
        <x:f>HYPERLINK("#'Indice'!A1","Índice")</x:f>
      </x:c>
      <x:c r="C6" s="61" t="e">
        <x:f>HYPERLINK("#'Mapa_Selecao'!A1","Mapa de seleção")</x:f>
      </x:c>
    </x:row>
    <x:row r="8">
      <x:c r="A8" s="66" t="str">
        <x:v>Formulário de aplicação da ferramenta</x:v>
      </x:c>
      <x:c r="B8" s="66"/>
      <x:c r="C8" s="66"/>
      <x:c r="D8" s="66"/>
      <x:c r="E8" s="66"/>
      <x:c r="F8" s="66"/>
    </x:row>
    <x:row r="9">
      <x:c r="A9" s="20" t="str">
        <x:v>Item</x:v>
      </x:c>
      <x:c r="B9" s="20" t="str">
        <x:v>Pergunta / campo</x:v>
      </x:c>
      <x:c r="C9" s="20" t="str">
        <x:v>Resposta</x:v>
      </x:c>
      <x:c r="D9" s="20" t="str">
        <x:v>Evidência / observação</x:v>
      </x:c>
      <x:c r="E9" s="20" t="str">
        <x:v>Responsável</x:v>
      </x:c>
      <x:c r="F9" s="20" t="str">
        <x:v>Status</x:v>
      </x:c>
    </x:row>
    <x:row r="10">
      <x:c r="A10" s="32" t="str">
        <x:v>1</x:v>
      </x:c>
      <x:c r="B10" s="32" t="str">
        <x:v>Qual é o objetivo desta ferramenta para este produto?</x:v>
      </x:c>
      <x:c r="C10" s="32" t="str"/>
      <x:c r="D10" s="32" t="str"/>
      <x:c r="E10" s="32" t="str"/>
      <x:c r="F10" s="32" t="str"/>
    </x:row>
    <x:row r="11">
      <x:c r="A11" s="32" t="str">
        <x:v>2</x:v>
      </x:c>
      <x:c r="B11" s="32" t="str">
        <x:v>Quais informações já estão disponíveis?</x:v>
      </x:c>
      <x:c r="C11" s="32" t="str"/>
      <x:c r="D11" s="32" t="str"/>
      <x:c r="E11" s="32" t="str"/>
      <x:c r="F11" s="32" t="str"/>
    </x:row>
    <x:row r="12">
      <x:c r="A12" s="32" t="str">
        <x:v>3</x:v>
      </x:c>
      <x:c r="B12" s="32" t="str">
        <x:v>Quais informações ainda estão pendentes?</x:v>
      </x:c>
      <x:c r="C12" s="32" t="str"/>
      <x:c r="D12" s="32" t="str"/>
      <x:c r="E12" s="32" t="str"/>
      <x:c r="F12" s="32" t="str"/>
    </x:row>
    <x:row r="13">
      <x:c r="A13" s="32" t="str">
        <x:v>4</x:v>
      </x:c>
      <x:c r="B13" s="32" t="str">
        <x:v>Quais achados impactam o conceito?</x:v>
      </x:c>
      <x:c r="C13" s="32" t="str"/>
      <x:c r="D13" s="32" t="str"/>
      <x:c r="E13" s="32" t="str"/>
      <x:c r="F13" s="32" t="str"/>
    </x:row>
    <x:row r="14">
      <x:c r="A14" s="32" t="str">
        <x:v>5</x:v>
      </x:c>
      <x:c r="B14" s="32" t="str">
        <x:v>Quais incertezas devem seguir para o próximo Gate?</x:v>
      </x:c>
      <x:c r="C14" s="32" t="str"/>
      <x:c r="D14" s="32" t="str"/>
      <x:c r="E14" s="32" t="str"/>
      <x:c r="F14" s="32" t="str"/>
    </x:row>
    <x:row r="15">
      <x:c r="A15" s="32"/>
      <x:c r="B15" s="32"/>
      <x:c r="C15" s="32"/>
      <x:c r="D15" s="32"/>
      <x:c r="E15" s="32"/>
      <x:c r="F15" s="32"/>
    </x:row>
    <x:row r="16">
      <x:c r="A16" s="32"/>
      <x:c r="B16" s="32"/>
      <x:c r="C16" s="32"/>
      <x:c r="D16" s="32"/>
      <x:c r="E16" s="32"/>
      <x:c r="F16" s="32"/>
    </x:row>
    <x:row r="17">
      <x:c r="A17" s="32"/>
      <x:c r="B17" s="32"/>
      <x:c r="C17" s="32"/>
      <x:c r="D17" s="32"/>
      <x:c r="E17" s="32"/>
      <x:c r="F17" s="32"/>
    </x:row>
    <x:row r="18">
      <x:c r="A18" s="32"/>
      <x:c r="B18" s="32"/>
      <x:c r="C18" s="32"/>
      <x:c r="D18" s="32"/>
      <x:c r="E18" s="32"/>
      <x:c r="F18" s="32"/>
    </x:row>
    <x:row r="19">
      <x:c r="A19" s="32"/>
      <x:c r="B19" s="32"/>
      <x:c r="C19" s="32"/>
      <x:c r="D19" s="32"/>
      <x:c r="E19" s="32"/>
      <x:c r="F19" s="32"/>
    </x:row>
    <x:row r="20">
      <x:c r="A20" s="32"/>
      <x:c r="B20" s="32"/>
      <x:c r="C20" s="32"/>
      <x:c r="D20" s="32"/>
      <x:c r="E20" s="32"/>
      <x:c r="F20" s="32"/>
    </x:row>
  </x:sheetData>
  <x:mergeCells>
    <x:mergeCell ref="A1:H1"/>
    <x:mergeCell ref="A2:H2"/>
    <x:mergeCell ref="A8:F8"/>
  </x:mergeCells>
  <x:dataValidations count="2">
    <x:dataValidation type="list" sqref="H5">
      <x:formula1>"Não iniciado,Em preenchimento,Em revisão,Concluído"</x:formula1>
    </x:dataValidation>
    <x:dataValidation type="list" sqref="F10:F20">
      <x:formula1>"Não iniciado,Em preenchimento,Concluído,N/A"</x:formula1>
    </x:dataValidation>
  </x:dataValidations>
  <x:pageMargins left="0.7" right="0.7" top="0.75" bottom="0.75" header="0.3" footer="0.3"/>
</x:worksheet>
</file>

<file path=xl/worksheets/sheet49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28" hidden="0" customWidth="1"/>
    <x:col min="3" max="3" width="42" hidden="0" customWidth="1"/>
    <x:col min="4" max="4" width="28" hidden="0" customWidth="1"/>
    <x:col min="5" max="5" width="36" hidden="0" customWidth="1"/>
    <x:col min="6" max="6" width="22" hidden="0" customWidth="1"/>
    <x:col min="7" max="7" width="22" hidden="0" customWidth="1"/>
    <x:col min="8" max="8" width="22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</x:cols>
  <x:sheetData>
    <x:row r="1">
      <x:c r="A1" s="4" t="str">
        <x:v>Decomposição funcional</x:v>
      </x:c>
      <x:c r="B1" s="4"/>
      <x:c r="C1" s="4"/>
      <x:c r="D1" s="4"/>
      <x:c r="E1" s="4"/>
      <x:c r="F1" s="4"/>
      <x:c r="G1" s="4"/>
      <x:c r="H1" s="4"/>
    </x:row>
    <x:row r="2">
      <x:c r="A2" s="11" t="str">
        <x:v>Ferramenta do ciclo de idealização até conceito aprovado. Preencha somente quando aplicável ao produto.</x:v>
      </x:c>
      <x:c r="B2" s="11"/>
      <x:c r="C2" s="11"/>
      <x:c r="D2" s="11"/>
      <x:c r="E2" s="11"/>
      <x:c r="F2" s="11"/>
      <x:c r="G2" s="11"/>
      <x:c r="H2" s="11"/>
    </x:row>
    <x:row r="3">
      <x:c r="A3" s="58" t="str">
        <x:v>Código</x:v>
      </x:c>
      <x:c r="B3" s="32" t="str">
        <x:v>G3_DECOMP</x:v>
      </x:c>
      <x:c r="C3" s="32" t="str"/>
      <x:c r="D3" s="58" t="str">
        <x:v>Gate</x:v>
      </x:c>
      <x:c r="E3" s="32" t="str">
        <x:v>Gate 3 — Geração de Alternativas</x:v>
      </x:c>
      <x:c r="F3" s="32" t="str"/>
      <x:c r="G3" s="58" t="str">
        <x:v>Tipo</x:v>
      </x:c>
      <x:c r="H3" s="32" t="str">
        <x:v>Ideação</x:v>
      </x:c>
    </x:row>
    <x:row r="4">
      <x:c r="A4" s="58" t="str">
        <x:v>Propósito</x:v>
      </x:c>
      <x:c r="B4" s="32" t="str">
        <x:v>Separar função global e subfunções</x:v>
      </x:c>
      <x:c r="C4" s="32" t="str"/>
      <x:c r="D4" s="58" t="str">
        <x:v>Quando usar</x:v>
      </x:c>
      <x:c r="E4" s="32" t="str">
        <x:v>Conforme pacote inteligente / Mapa_Selecao</x:v>
      </x:c>
      <x:c r="F4" s="32" t="str"/>
      <x:c r="G4" s="58" t="str">
        <x:v>Observações</x:v>
      </x:c>
      <x:c r="H4" s="32" t="str">
        <x:v>Não substitui projeto detalhado; registra hipóteses, alertas e incertezas.</x:v>
      </x:c>
    </x:row>
    <x:row r="5">
      <x:c r="A5" s="58" t="str">
        <x:v>Produto</x:v>
      </x:c>
      <x:c r="B5" s="32" t="str">
        <x:f>IF(Dashboard!B4="","",Dashboard!B4)</x:f>
      </x:c>
      <x:c r="C5" s="32" t="str"/>
      <x:c r="D5" s="58" t="str">
        <x:v>Responsável</x:v>
      </x:c>
      <x:c r="E5" s="32" t="str">
        <x:f>IF(Dashboard!B6="","",Dashboard!B6)</x:f>
      </x:c>
      <x:c r="F5" s="32" t="str"/>
      <x:c r="G5" s="58" t="str">
        <x:v>Status</x:v>
      </x:c>
      <x:c r="H5" s="32" t="str"/>
    </x:row>
    <x:row r="6">
      <x:c r="A6" s="61" t="e">
        <x:f>HYPERLINK("#'Dashboard'!A1","← Dashboard")</x:f>
      </x:c>
      <x:c r="B6" s="61" t="e">
        <x:f>HYPERLINK("#'Indice'!A1","Índice")</x:f>
      </x:c>
      <x:c r="C6" s="61" t="e">
        <x:f>HYPERLINK("#'Mapa_Selecao'!A1","Mapa de seleção")</x:f>
      </x:c>
    </x:row>
    <x:row r="8">
      <x:c r="A8" s="66" t="str">
        <x:v>Decomposição funcional</x:v>
      </x:c>
      <x:c r="B8" s="66" t="str"/>
      <x:c r="C8" s="66" t="str"/>
      <x:c r="D8" s="66" t="str"/>
      <x:c r="E8" s="66" t="str"/>
    </x:row>
    <x:row r="9">
      <x:c r="A9" s="20" t="str">
        <x:v>Função global / subfunção</x:v>
      </x:c>
      <x:c r="B9" s="20" t="str">
        <x:v>Entrada</x:v>
      </x:c>
      <x:c r="C9" s="20" t="str">
        <x:v>Transformação esperada</x:v>
      </x:c>
      <x:c r="D9" s="20" t="str">
        <x:v>Saída</x:v>
      </x:c>
      <x:c r="E9" s="20" t="str">
        <x:v>Observação</x:v>
      </x:c>
    </x:row>
    <x:row r="10">
      <x:c r="A10" t="str">
        <x:v>Função global</x:v>
      </x:c>
      <x:c r="B10" t="str"/>
      <x:c r="C10" t="str"/>
      <x:c r="D10" t="str"/>
      <x:c r="E10" t="str"/>
    </x:row>
    <x:row r="11">
      <x:c r="A11" t="str">
        <x:v>Subfunção</x:v>
      </x:c>
      <x:c r="B11" t="str"/>
      <x:c r="C11" t="str"/>
      <x:c r="D11" t="str"/>
      <x:c r="E11" t="str"/>
    </x:row>
    <x:row r="12">
      <x:c r="A12" t="str">
        <x:v>Subfunção</x:v>
      </x:c>
      <x:c r="B12" t="str"/>
      <x:c r="C12" t="str"/>
      <x:c r="D12" t="str"/>
      <x:c r="E12" t="str"/>
    </x:row>
    <x:row r="13">
      <x:c r="A13" t="str">
        <x:v>Subfunção</x:v>
      </x:c>
      <x:c r="B13" t="str"/>
      <x:c r="C13" t="str"/>
      <x:c r="D13" t="str"/>
      <x:c r="E13" t="str"/>
    </x:row>
    <x:row r="14">
      <x:c r="A14" t="str">
        <x:v>Subfunção</x:v>
      </x:c>
      <x:c r="B14" t="str"/>
      <x:c r="C14" t="str"/>
      <x:c r="D14" t="str"/>
      <x:c r="E14" t="str"/>
    </x:row>
    <x:row r="15">
      <x:c r="A15" t="str">
        <x:v>Subfunção</x:v>
      </x:c>
      <x:c r="B15" t="str"/>
      <x:c r="C15" t="str"/>
      <x:c r="D15" t="str"/>
      <x:c r="E15" t="str"/>
    </x:row>
    <x:row r="16">
      <x:c r="A16" t="str">
        <x:v>Subfunção</x:v>
      </x:c>
      <x:c r="B16" t="str"/>
      <x:c r="C16" t="str"/>
      <x:c r="D16" t="str"/>
      <x:c r="E16" t="str"/>
    </x:row>
    <x:row r="17">
      <x:c r="A17" t="str">
        <x:v>Subfunção</x:v>
      </x:c>
      <x:c r="B17" t="str"/>
      <x:c r="C17" t="str"/>
      <x:c r="D17" t="str"/>
      <x:c r="E17" t="str"/>
    </x:row>
    <x:row r="18">
      <x:c r="A18" t="str">
        <x:v>Subfunção</x:v>
      </x:c>
      <x:c r="B18" t="str"/>
      <x:c r="C18" t="str"/>
      <x:c r="D18" t="str"/>
      <x:c r="E18" t="str"/>
    </x:row>
    <x:row r="19">
      <x:c r="A19" t="str">
        <x:v>Subfunção</x:v>
      </x:c>
      <x:c r="B19" t="str"/>
      <x:c r="C19" t="str"/>
      <x:c r="D19" t="str"/>
      <x:c r="E19" t="str"/>
    </x:row>
    <x:row r="20">
      <x:c r="A20" t="str">
        <x:v>Subfunção</x:v>
      </x:c>
      <x:c r="B20" t="str"/>
      <x:c r="C20" t="str"/>
      <x:c r="D20" t="str"/>
      <x:c r="E20" t="str"/>
    </x:row>
    <x:row r="21">
      <x:c r="A21" t="str">
        <x:v>Subfunção</x:v>
      </x:c>
      <x:c r="B21" t="str"/>
      <x:c r="C21" t="str"/>
      <x:c r="D21" t="str"/>
      <x:c r="E21" t="str"/>
    </x:row>
    <x:row r="22">
      <x:c r="A22" t="str">
        <x:v>Subfunção</x:v>
      </x:c>
      <x:c r="B22" t="str"/>
      <x:c r="C22" t="str"/>
      <x:c r="D22" t="str"/>
      <x:c r="E22" t="str"/>
    </x:row>
  </x:sheetData>
  <x:mergeCells>
    <x:mergeCell ref="A1:H1"/>
    <x:mergeCell ref="A2:H2"/>
    <x:mergeCell ref="A8:E8"/>
  </x:mergeCells>
  <x:dataValidations count="1">
    <x:dataValidation type="list" sqref="H5">
      <x:formula1>"Não iniciado,Em preenchimento,Em revisão,Concluído"</x:formula1>
    </x:dataValidation>
  </x:dataValidations>
  <x:pageMargins left="0.7" right="0.7" top="0.75" bottom="0.75" header="0.3" footer="0.3"/>
</x:worksheet>
</file>

<file path=xl/worksheets/sheet50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38" hidden="0" customWidth="1"/>
    <x:col min="3" max="3" width="28" hidden="0" customWidth="1"/>
    <x:col min="4" max="4" width="42" hidden="0" customWidth="1"/>
    <x:col min="5" max="5" width="18" hidden="0" customWidth="1"/>
    <x:col min="6" max="6" width="16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</x:cols>
  <x:sheetData>
    <x:row r="1">
      <x:c r="A1" s="4" t="str">
        <x:v>Brainstorming estruturado</x:v>
      </x:c>
      <x:c r="B1" s="4"/>
      <x:c r="C1" s="4"/>
      <x:c r="D1" s="4"/>
      <x:c r="E1" s="4"/>
      <x:c r="F1" s="4"/>
      <x:c r="G1" s="4"/>
      <x:c r="H1" s="4"/>
    </x:row>
    <x:row r="2">
      <x:c r="A2" s="11" t="str">
        <x:v>Ferramenta do ciclo de idealização até conceito aprovado. Preencha somente quando aplicável ao produto.</x:v>
      </x:c>
      <x:c r="B2" s="11"/>
      <x:c r="C2" s="11"/>
      <x:c r="D2" s="11"/>
      <x:c r="E2" s="11"/>
      <x:c r="F2" s="11"/>
      <x:c r="G2" s="11"/>
      <x:c r="H2" s="11"/>
    </x:row>
    <x:row r="3">
      <x:c r="A3" s="58" t="str">
        <x:v>Código</x:v>
      </x:c>
      <x:c r="B3" s="32" t="str">
        <x:v>G3_BRAIN</x:v>
      </x:c>
      <x:c r="C3" s="32" t="str"/>
      <x:c r="D3" s="58" t="str">
        <x:v>Gate</x:v>
      </x:c>
      <x:c r="E3" s="32" t="str">
        <x:v>Gate 3 — Geração de Alternativas</x:v>
      </x:c>
      <x:c r="F3" s="32" t="str"/>
      <x:c r="G3" s="58" t="str">
        <x:v>Tipo</x:v>
      </x:c>
      <x:c r="H3" s="32" t="str">
        <x:v>Ideação</x:v>
      </x:c>
    </x:row>
    <x:row r="4">
      <x:c r="A4" s="58" t="str">
        <x:v>Propósito</x:v>
      </x:c>
      <x:c r="B4" s="32" t="str">
        <x:v>Gerar alternativas orientadas</x:v>
      </x:c>
      <x:c r="C4" s="32" t="str"/>
      <x:c r="D4" s="58" t="str">
        <x:v>Quando usar</x:v>
      </x:c>
      <x:c r="E4" s="32" t="str">
        <x:v>Conforme pacote inteligente / Mapa_Selecao</x:v>
      </x:c>
      <x:c r="F4" s="32" t="str"/>
      <x:c r="G4" s="58" t="str">
        <x:v>Observações</x:v>
      </x:c>
      <x:c r="H4" s="32" t="str">
        <x:v>Não substitui projeto detalhado; registra hipóteses, alertas e incertezas.</x:v>
      </x:c>
    </x:row>
    <x:row r="5">
      <x:c r="A5" s="58" t="str">
        <x:v>Produto</x:v>
      </x:c>
      <x:c r="B5" s="32" t="str">
        <x:f>IF(Dashboard!B4="","",Dashboard!B4)</x:f>
      </x:c>
      <x:c r="C5" s="32" t="str"/>
      <x:c r="D5" s="58" t="str">
        <x:v>Responsável</x:v>
      </x:c>
      <x:c r="E5" s="32" t="str">
        <x:f>IF(Dashboard!B6="","",Dashboard!B6)</x:f>
      </x:c>
      <x:c r="F5" s="32" t="str"/>
      <x:c r="G5" s="58" t="str">
        <x:v>Status</x:v>
      </x:c>
      <x:c r="H5" s="32" t="str"/>
    </x:row>
    <x:row r="6">
      <x:c r="A6" s="61" t="e">
        <x:f>HYPERLINK("#'Dashboard'!A1","← Dashboard")</x:f>
      </x:c>
      <x:c r="B6" s="61" t="e">
        <x:f>HYPERLINK("#'Indice'!A1","Índice")</x:f>
      </x:c>
      <x:c r="C6" s="61" t="e">
        <x:f>HYPERLINK("#'Mapa_Selecao'!A1","Mapa de seleção")</x:f>
      </x:c>
    </x:row>
    <x:row r="8">
      <x:c r="A8" s="66" t="str">
        <x:v>Formulário de aplicação da ferramenta</x:v>
      </x:c>
      <x:c r="B8" s="66"/>
      <x:c r="C8" s="66"/>
      <x:c r="D8" s="66"/>
      <x:c r="E8" s="66"/>
      <x:c r="F8" s="66"/>
    </x:row>
    <x:row r="9">
      <x:c r="A9" s="20" t="str">
        <x:v>Item</x:v>
      </x:c>
      <x:c r="B9" s="20" t="str">
        <x:v>Pergunta / campo</x:v>
      </x:c>
      <x:c r="C9" s="20" t="str">
        <x:v>Resposta</x:v>
      </x:c>
      <x:c r="D9" s="20" t="str">
        <x:v>Evidência / observação</x:v>
      </x:c>
      <x:c r="E9" s="20" t="str">
        <x:v>Responsável</x:v>
      </x:c>
      <x:c r="F9" s="20" t="str">
        <x:v>Status</x:v>
      </x:c>
    </x:row>
    <x:row r="10">
      <x:c r="A10" s="32" t="str">
        <x:v>1</x:v>
      </x:c>
      <x:c r="B10" s="32" t="str">
        <x:v>Qual é o objetivo desta ferramenta para este produto?</x:v>
      </x:c>
      <x:c r="C10" s="32" t="str"/>
      <x:c r="D10" s="32" t="str"/>
      <x:c r="E10" s="32" t="str"/>
      <x:c r="F10" s="32" t="str"/>
    </x:row>
    <x:row r="11">
      <x:c r="A11" s="32" t="str">
        <x:v>2</x:v>
      </x:c>
      <x:c r="B11" s="32" t="str">
        <x:v>Quais informações já estão disponíveis?</x:v>
      </x:c>
      <x:c r="C11" s="32" t="str"/>
      <x:c r="D11" s="32" t="str"/>
      <x:c r="E11" s="32" t="str"/>
      <x:c r="F11" s="32" t="str"/>
    </x:row>
    <x:row r="12">
      <x:c r="A12" s="32" t="str">
        <x:v>3</x:v>
      </x:c>
      <x:c r="B12" s="32" t="str">
        <x:v>Quais informações ainda estão pendentes?</x:v>
      </x:c>
      <x:c r="C12" s="32" t="str"/>
      <x:c r="D12" s="32" t="str"/>
      <x:c r="E12" s="32" t="str"/>
      <x:c r="F12" s="32" t="str"/>
    </x:row>
    <x:row r="13">
      <x:c r="A13" s="32" t="str">
        <x:v>4</x:v>
      </x:c>
      <x:c r="B13" s="32" t="str">
        <x:v>Quais achados impactam o conceito?</x:v>
      </x:c>
      <x:c r="C13" s="32" t="str"/>
      <x:c r="D13" s="32" t="str"/>
      <x:c r="E13" s="32" t="str"/>
      <x:c r="F13" s="32" t="str"/>
    </x:row>
    <x:row r="14">
      <x:c r="A14" s="32" t="str">
        <x:v>5</x:v>
      </x:c>
      <x:c r="B14" s="32" t="str">
        <x:v>Quais incertezas devem seguir para o próximo Gate?</x:v>
      </x:c>
      <x:c r="C14" s="32" t="str"/>
      <x:c r="D14" s="32" t="str"/>
      <x:c r="E14" s="32" t="str"/>
      <x:c r="F14" s="32" t="str"/>
    </x:row>
    <x:row r="15">
      <x:c r="A15" s="32"/>
      <x:c r="B15" s="32"/>
      <x:c r="C15" s="32"/>
      <x:c r="D15" s="32"/>
      <x:c r="E15" s="32"/>
      <x:c r="F15" s="32"/>
    </x:row>
    <x:row r="16">
      <x:c r="A16" s="32"/>
      <x:c r="B16" s="32"/>
      <x:c r="C16" s="32"/>
      <x:c r="D16" s="32"/>
      <x:c r="E16" s="32"/>
      <x:c r="F16" s="32"/>
    </x:row>
    <x:row r="17">
      <x:c r="A17" s="32"/>
      <x:c r="B17" s="32"/>
      <x:c r="C17" s="32"/>
      <x:c r="D17" s="32"/>
      <x:c r="E17" s="32"/>
      <x:c r="F17" s="32"/>
    </x:row>
    <x:row r="18">
      <x:c r="A18" s="32"/>
      <x:c r="B18" s="32"/>
      <x:c r="C18" s="32"/>
      <x:c r="D18" s="32"/>
      <x:c r="E18" s="32"/>
      <x:c r="F18" s="32"/>
    </x:row>
    <x:row r="19">
      <x:c r="A19" s="32"/>
      <x:c r="B19" s="32"/>
      <x:c r="C19" s="32"/>
      <x:c r="D19" s="32"/>
      <x:c r="E19" s="32"/>
      <x:c r="F19" s="32"/>
    </x:row>
    <x:row r="20">
      <x:c r="A20" s="32"/>
      <x:c r="B20" s="32"/>
      <x:c r="C20" s="32"/>
      <x:c r="D20" s="32"/>
      <x:c r="E20" s="32"/>
      <x:c r="F20" s="32"/>
    </x:row>
  </x:sheetData>
  <x:mergeCells>
    <x:mergeCell ref="A1:H1"/>
    <x:mergeCell ref="A2:H2"/>
    <x:mergeCell ref="A8:F8"/>
  </x:mergeCells>
  <x:dataValidations count="2">
    <x:dataValidation type="list" sqref="H5">
      <x:formula1>"Não iniciado,Em preenchimento,Em revisão,Concluído"</x:formula1>
    </x:dataValidation>
    <x:dataValidation type="list" sqref="F10:F20">
      <x:formula1>"Não iniciado,Em preenchimento,Concluído,N/A"</x:formula1>
    </x:dataValidation>
  </x:dataValidations>
  <x:pageMargins left="0.7" right="0.7" top="0.75" bottom="0.75" header="0.3" footer="0.3"/>
</x:worksheet>
</file>

<file path=xl/worksheets/sheet51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38" hidden="0" customWidth="1"/>
    <x:col min="3" max="3" width="28" hidden="0" customWidth="1"/>
    <x:col min="4" max="4" width="42" hidden="0" customWidth="1"/>
    <x:col min="5" max="5" width="18" hidden="0" customWidth="1"/>
    <x:col min="6" max="6" width="16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</x:cols>
  <x:sheetData>
    <x:row r="1">
      <x:c r="A1" s="4" t="str">
        <x:v>SCAMPER</x:v>
      </x:c>
      <x:c r="B1" s="4"/>
      <x:c r="C1" s="4"/>
      <x:c r="D1" s="4"/>
      <x:c r="E1" s="4"/>
      <x:c r="F1" s="4"/>
      <x:c r="G1" s="4"/>
      <x:c r="H1" s="4"/>
    </x:row>
    <x:row r="2">
      <x:c r="A2" s="11" t="str">
        <x:v>Ferramenta do ciclo de idealização até conceito aprovado. Preencha somente quando aplicável ao produto.</x:v>
      </x:c>
      <x:c r="B2" s="11"/>
      <x:c r="C2" s="11"/>
      <x:c r="D2" s="11"/>
      <x:c r="E2" s="11"/>
      <x:c r="F2" s="11"/>
      <x:c r="G2" s="11"/>
      <x:c r="H2" s="11"/>
    </x:row>
    <x:row r="3">
      <x:c r="A3" s="58" t="str">
        <x:v>Código</x:v>
      </x:c>
      <x:c r="B3" s="32" t="str">
        <x:v>G3_SCAMPER</x:v>
      </x:c>
      <x:c r="C3" s="32" t="str"/>
      <x:c r="D3" s="58" t="str">
        <x:v>Gate</x:v>
      </x:c>
      <x:c r="E3" s="32" t="str">
        <x:v>Gate 3 — Geração de Alternativas</x:v>
      </x:c>
      <x:c r="F3" s="32" t="str"/>
      <x:c r="G3" s="58" t="str">
        <x:v>Tipo</x:v>
      </x:c>
      <x:c r="H3" s="32" t="str">
        <x:v>Ideação</x:v>
      </x:c>
    </x:row>
    <x:row r="4">
      <x:c r="A4" s="58" t="str">
        <x:v>Propósito</x:v>
      </x:c>
      <x:c r="B4" s="32" t="str">
        <x:v>Adaptar soluções existentes</x:v>
      </x:c>
      <x:c r="C4" s="32" t="str"/>
      <x:c r="D4" s="58" t="str">
        <x:v>Quando usar</x:v>
      </x:c>
      <x:c r="E4" s="32" t="str">
        <x:v>Conforme pacote inteligente / Mapa_Selecao</x:v>
      </x:c>
      <x:c r="F4" s="32" t="str"/>
      <x:c r="G4" s="58" t="str">
        <x:v>Observações</x:v>
      </x:c>
      <x:c r="H4" s="32" t="str">
        <x:v>Não substitui projeto detalhado; registra hipóteses, alertas e incertezas.</x:v>
      </x:c>
    </x:row>
    <x:row r="5">
      <x:c r="A5" s="58" t="str">
        <x:v>Produto</x:v>
      </x:c>
      <x:c r="B5" s="32" t="str">
        <x:f>IF(Dashboard!B4="","",Dashboard!B4)</x:f>
      </x:c>
      <x:c r="C5" s="32" t="str"/>
      <x:c r="D5" s="58" t="str">
        <x:v>Responsável</x:v>
      </x:c>
      <x:c r="E5" s="32" t="str">
        <x:f>IF(Dashboard!B6="","",Dashboard!B6)</x:f>
      </x:c>
      <x:c r="F5" s="32" t="str"/>
      <x:c r="G5" s="58" t="str">
        <x:v>Status</x:v>
      </x:c>
      <x:c r="H5" s="32" t="str"/>
    </x:row>
    <x:row r="6">
      <x:c r="A6" s="61" t="e">
        <x:f>HYPERLINK("#'Dashboard'!A1","← Dashboard")</x:f>
      </x:c>
      <x:c r="B6" s="61" t="e">
        <x:f>HYPERLINK("#'Indice'!A1","Índice")</x:f>
      </x:c>
      <x:c r="C6" s="61" t="e">
        <x:f>HYPERLINK("#'Mapa_Selecao'!A1","Mapa de seleção")</x:f>
      </x:c>
    </x:row>
    <x:row r="8">
      <x:c r="A8" s="66" t="str">
        <x:v>Formulário de aplicação da ferramenta</x:v>
      </x:c>
      <x:c r="B8" s="66"/>
      <x:c r="C8" s="66"/>
      <x:c r="D8" s="66"/>
      <x:c r="E8" s="66"/>
      <x:c r="F8" s="66"/>
    </x:row>
    <x:row r="9">
      <x:c r="A9" s="20" t="str">
        <x:v>Item</x:v>
      </x:c>
      <x:c r="B9" s="20" t="str">
        <x:v>Pergunta / campo</x:v>
      </x:c>
      <x:c r="C9" s="20" t="str">
        <x:v>Resposta</x:v>
      </x:c>
      <x:c r="D9" s="20" t="str">
        <x:v>Evidência / observação</x:v>
      </x:c>
      <x:c r="E9" s="20" t="str">
        <x:v>Responsável</x:v>
      </x:c>
      <x:c r="F9" s="20" t="str">
        <x:v>Status</x:v>
      </x:c>
    </x:row>
    <x:row r="10">
      <x:c r="A10" s="32" t="str">
        <x:v>1</x:v>
      </x:c>
      <x:c r="B10" s="32" t="str">
        <x:v>Qual é o objetivo desta ferramenta para este produto?</x:v>
      </x:c>
      <x:c r="C10" s="32" t="str"/>
      <x:c r="D10" s="32" t="str"/>
      <x:c r="E10" s="32" t="str"/>
      <x:c r="F10" s="32" t="str"/>
    </x:row>
    <x:row r="11">
      <x:c r="A11" s="32" t="str">
        <x:v>2</x:v>
      </x:c>
      <x:c r="B11" s="32" t="str">
        <x:v>Quais informações já estão disponíveis?</x:v>
      </x:c>
      <x:c r="C11" s="32" t="str"/>
      <x:c r="D11" s="32" t="str"/>
      <x:c r="E11" s="32" t="str"/>
      <x:c r="F11" s="32" t="str"/>
    </x:row>
    <x:row r="12">
      <x:c r="A12" s="32" t="str">
        <x:v>3</x:v>
      </x:c>
      <x:c r="B12" s="32" t="str">
        <x:v>Quais informações ainda estão pendentes?</x:v>
      </x:c>
      <x:c r="C12" s="32" t="str"/>
      <x:c r="D12" s="32" t="str"/>
      <x:c r="E12" s="32" t="str"/>
      <x:c r="F12" s="32" t="str"/>
    </x:row>
    <x:row r="13">
      <x:c r="A13" s="32" t="str">
        <x:v>4</x:v>
      </x:c>
      <x:c r="B13" s="32" t="str">
        <x:v>Quais achados impactam o conceito?</x:v>
      </x:c>
      <x:c r="C13" s="32" t="str"/>
      <x:c r="D13" s="32" t="str"/>
      <x:c r="E13" s="32" t="str"/>
      <x:c r="F13" s="32" t="str"/>
    </x:row>
    <x:row r="14">
      <x:c r="A14" s="32" t="str">
        <x:v>5</x:v>
      </x:c>
      <x:c r="B14" s="32" t="str">
        <x:v>Quais incertezas devem seguir para o próximo Gate?</x:v>
      </x:c>
      <x:c r="C14" s="32" t="str"/>
      <x:c r="D14" s="32" t="str"/>
      <x:c r="E14" s="32" t="str"/>
      <x:c r="F14" s="32" t="str"/>
    </x:row>
    <x:row r="15">
      <x:c r="A15" s="32"/>
      <x:c r="B15" s="32"/>
      <x:c r="C15" s="32"/>
      <x:c r="D15" s="32"/>
      <x:c r="E15" s="32"/>
      <x:c r="F15" s="32"/>
    </x:row>
    <x:row r="16">
      <x:c r="A16" s="32"/>
      <x:c r="B16" s="32"/>
      <x:c r="C16" s="32"/>
      <x:c r="D16" s="32"/>
      <x:c r="E16" s="32"/>
      <x:c r="F16" s="32"/>
    </x:row>
    <x:row r="17">
      <x:c r="A17" s="32"/>
      <x:c r="B17" s="32"/>
      <x:c r="C17" s="32"/>
      <x:c r="D17" s="32"/>
      <x:c r="E17" s="32"/>
      <x:c r="F17" s="32"/>
    </x:row>
    <x:row r="18">
      <x:c r="A18" s="32"/>
      <x:c r="B18" s="32"/>
      <x:c r="C18" s="32"/>
      <x:c r="D18" s="32"/>
      <x:c r="E18" s="32"/>
      <x:c r="F18" s="32"/>
    </x:row>
    <x:row r="19">
      <x:c r="A19" s="32"/>
      <x:c r="B19" s="32"/>
      <x:c r="C19" s="32"/>
      <x:c r="D19" s="32"/>
      <x:c r="E19" s="32"/>
      <x:c r="F19" s="32"/>
    </x:row>
    <x:row r="20">
      <x:c r="A20" s="32"/>
      <x:c r="B20" s="32"/>
      <x:c r="C20" s="32"/>
      <x:c r="D20" s="32"/>
      <x:c r="E20" s="32"/>
      <x:c r="F20" s="32"/>
    </x:row>
  </x:sheetData>
  <x:mergeCells>
    <x:mergeCell ref="A1:H1"/>
    <x:mergeCell ref="A2:H2"/>
    <x:mergeCell ref="A8:F8"/>
  </x:mergeCells>
  <x:dataValidations count="2">
    <x:dataValidation type="list" sqref="H5">
      <x:formula1>"Não iniciado,Em preenchimento,Em revisão,Concluído"</x:formula1>
    </x:dataValidation>
    <x:dataValidation type="list" sqref="F10:F20">
      <x:formula1>"Não iniciado,Em preenchimento,Concluído,N/A"</x:formula1>
    </x:dataValidation>
  </x:dataValidations>
  <x:pageMargins left="0.7" right="0.7" top="0.75" bottom="0.75" header="0.3" footer="0.3"/>
</x:worksheet>
</file>

<file path=xl/worksheets/sheet52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38" hidden="0" customWidth="1"/>
    <x:col min="3" max="3" width="28" hidden="0" customWidth="1"/>
    <x:col min="4" max="4" width="42" hidden="0" customWidth="1"/>
    <x:col min="5" max="5" width="18" hidden="0" customWidth="1"/>
    <x:col min="6" max="6" width="16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</x:cols>
  <x:sheetData>
    <x:row r="1">
      <x:c r="A1" s="4" t="str">
        <x:v>TRIZ conceitual</x:v>
      </x:c>
      <x:c r="B1" s="4"/>
      <x:c r="C1" s="4"/>
      <x:c r="D1" s="4"/>
      <x:c r="E1" s="4"/>
      <x:c r="F1" s="4"/>
      <x:c r="G1" s="4"/>
      <x:c r="H1" s="4"/>
    </x:row>
    <x:row r="2">
      <x:c r="A2" s="11" t="str">
        <x:v>Ferramenta do ciclo de idealização até conceito aprovado. Preencha somente quando aplicável ao produto.</x:v>
      </x:c>
      <x:c r="B2" s="11"/>
      <x:c r="C2" s="11"/>
      <x:c r="D2" s="11"/>
      <x:c r="E2" s="11"/>
      <x:c r="F2" s="11"/>
      <x:c r="G2" s="11"/>
      <x:c r="H2" s="11"/>
    </x:row>
    <x:row r="3">
      <x:c r="A3" s="58" t="str">
        <x:v>Código</x:v>
      </x:c>
      <x:c r="B3" s="32" t="str">
        <x:v>G3_TRIZ</x:v>
      </x:c>
      <x:c r="C3" s="32" t="str"/>
      <x:c r="D3" s="58" t="str">
        <x:v>Gate</x:v>
      </x:c>
      <x:c r="E3" s="32" t="str">
        <x:v>Gate 3 — Geração de Alternativas</x:v>
      </x:c>
      <x:c r="F3" s="32" t="str"/>
      <x:c r="G3" s="58" t="str">
        <x:v>Tipo</x:v>
      </x:c>
      <x:c r="H3" s="32" t="str">
        <x:v>Ideação</x:v>
      </x:c>
    </x:row>
    <x:row r="4">
      <x:c r="A4" s="58" t="str">
        <x:v>Propósito</x:v>
      </x:c>
      <x:c r="B4" s="32" t="str">
        <x:v>Resolver contradições técnicas iniciais</x:v>
      </x:c>
      <x:c r="C4" s="32" t="str"/>
      <x:c r="D4" s="58" t="str">
        <x:v>Quando usar</x:v>
      </x:c>
      <x:c r="E4" s="32" t="str">
        <x:v>Conforme pacote inteligente / Mapa_Selecao</x:v>
      </x:c>
      <x:c r="F4" s="32" t="str"/>
      <x:c r="G4" s="58" t="str">
        <x:v>Observações</x:v>
      </x:c>
      <x:c r="H4" s="32" t="str">
        <x:v>Não substitui projeto detalhado; registra hipóteses, alertas e incertezas.</x:v>
      </x:c>
    </x:row>
    <x:row r="5">
      <x:c r="A5" s="58" t="str">
        <x:v>Produto</x:v>
      </x:c>
      <x:c r="B5" s="32" t="str">
        <x:f>IF(Dashboard!B4="","",Dashboard!B4)</x:f>
      </x:c>
      <x:c r="C5" s="32" t="str"/>
      <x:c r="D5" s="58" t="str">
        <x:v>Responsável</x:v>
      </x:c>
      <x:c r="E5" s="32" t="str">
        <x:f>IF(Dashboard!B6="","",Dashboard!B6)</x:f>
      </x:c>
      <x:c r="F5" s="32" t="str"/>
      <x:c r="G5" s="58" t="str">
        <x:v>Status</x:v>
      </x:c>
      <x:c r="H5" s="32" t="str"/>
    </x:row>
    <x:row r="6">
      <x:c r="A6" s="61" t="e">
        <x:f>HYPERLINK("#'Dashboard'!A1","← Dashboard")</x:f>
      </x:c>
      <x:c r="B6" s="61" t="e">
        <x:f>HYPERLINK("#'Indice'!A1","Índice")</x:f>
      </x:c>
      <x:c r="C6" s="61" t="e">
        <x:f>HYPERLINK("#'Mapa_Selecao'!A1","Mapa de seleção")</x:f>
      </x:c>
    </x:row>
    <x:row r="8">
      <x:c r="A8" s="66" t="str">
        <x:v>Formulário de aplicação da ferramenta</x:v>
      </x:c>
      <x:c r="B8" s="66"/>
      <x:c r="C8" s="66"/>
      <x:c r="D8" s="66"/>
      <x:c r="E8" s="66"/>
      <x:c r="F8" s="66"/>
    </x:row>
    <x:row r="9">
      <x:c r="A9" s="20" t="str">
        <x:v>Item</x:v>
      </x:c>
      <x:c r="B9" s="20" t="str">
        <x:v>Pergunta / campo</x:v>
      </x:c>
      <x:c r="C9" s="20" t="str">
        <x:v>Resposta</x:v>
      </x:c>
      <x:c r="D9" s="20" t="str">
        <x:v>Evidência / observação</x:v>
      </x:c>
      <x:c r="E9" s="20" t="str">
        <x:v>Responsável</x:v>
      </x:c>
      <x:c r="F9" s="20" t="str">
        <x:v>Status</x:v>
      </x:c>
    </x:row>
    <x:row r="10">
      <x:c r="A10" s="32" t="str">
        <x:v>1</x:v>
      </x:c>
      <x:c r="B10" s="32" t="str">
        <x:v>Qual é o objetivo desta ferramenta para este produto?</x:v>
      </x:c>
      <x:c r="C10" s="32" t="str"/>
      <x:c r="D10" s="32" t="str"/>
      <x:c r="E10" s="32" t="str"/>
      <x:c r="F10" s="32" t="str"/>
    </x:row>
    <x:row r="11">
      <x:c r="A11" s="32" t="str">
        <x:v>2</x:v>
      </x:c>
      <x:c r="B11" s="32" t="str">
        <x:v>Quais informações já estão disponíveis?</x:v>
      </x:c>
      <x:c r="C11" s="32" t="str"/>
      <x:c r="D11" s="32" t="str"/>
      <x:c r="E11" s="32" t="str"/>
      <x:c r="F11" s="32" t="str"/>
    </x:row>
    <x:row r="12">
      <x:c r="A12" s="32" t="str">
        <x:v>3</x:v>
      </x:c>
      <x:c r="B12" s="32" t="str">
        <x:v>Quais informações ainda estão pendentes?</x:v>
      </x:c>
      <x:c r="C12" s="32" t="str"/>
      <x:c r="D12" s="32" t="str"/>
      <x:c r="E12" s="32" t="str"/>
      <x:c r="F12" s="32" t="str"/>
    </x:row>
    <x:row r="13">
      <x:c r="A13" s="32" t="str">
        <x:v>4</x:v>
      </x:c>
      <x:c r="B13" s="32" t="str">
        <x:v>Quais achados impactam o conceito?</x:v>
      </x:c>
      <x:c r="C13" s="32" t="str"/>
      <x:c r="D13" s="32" t="str"/>
      <x:c r="E13" s="32" t="str"/>
      <x:c r="F13" s="32" t="str"/>
    </x:row>
    <x:row r="14">
      <x:c r="A14" s="32" t="str">
        <x:v>5</x:v>
      </x:c>
      <x:c r="B14" s="32" t="str">
        <x:v>Quais incertezas devem seguir para o próximo Gate?</x:v>
      </x:c>
      <x:c r="C14" s="32" t="str"/>
      <x:c r="D14" s="32" t="str"/>
      <x:c r="E14" s="32" t="str"/>
      <x:c r="F14" s="32" t="str"/>
    </x:row>
    <x:row r="15">
      <x:c r="A15" s="32"/>
      <x:c r="B15" s="32"/>
      <x:c r="C15" s="32"/>
      <x:c r="D15" s="32"/>
      <x:c r="E15" s="32"/>
      <x:c r="F15" s="32"/>
    </x:row>
    <x:row r="16">
      <x:c r="A16" s="32"/>
      <x:c r="B16" s="32"/>
      <x:c r="C16" s="32"/>
      <x:c r="D16" s="32"/>
      <x:c r="E16" s="32"/>
      <x:c r="F16" s="32"/>
    </x:row>
    <x:row r="17">
      <x:c r="A17" s="32"/>
      <x:c r="B17" s="32"/>
      <x:c r="C17" s="32"/>
      <x:c r="D17" s="32"/>
      <x:c r="E17" s="32"/>
      <x:c r="F17" s="32"/>
    </x:row>
    <x:row r="18">
      <x:c r="A18" s="32"/>
      <x:c r="B18" s="32"/>
      <x:c r="C18" s="32"/>
      <x:c r="D18" s="32"/>
      <x:c r="E18" s="32"/>
      <x:c r="F18" s="32"/>
    </x:row>
    <x:row r="19">
      <x:c r="A19" s="32"/>
      <x:c r="B19" s="32"/>
      <x:c r="C19" s="32"/>
      <x:c r="D19" s="32"/>
      <x:c r="E19" s="32"/>
      <x:c r="F19" s="32"/>
    </x:row>
    <x:row r="20">
      <x:c r="A20" s="32"/>
      <x:c r="B20" s="32"/>
      <x:c r="C20" s="32"/>
      <x:c r="D20" s="32"/>
      <x:c r="E20" s="32"/>
      <x:c r="F20" s="32"/>
    </x:row>
  </x:sheetData>
  <x:mergeCells>
    <x:mergeCell ref="A1:H1"/>
    <x:mergeCell ref="A2:H2"/>
    <x:mergeCell ref="A8:F8"/>
  </x:mergeCells>
  <x:dataValidations count="2">
    <x:dataValidation type="list" sqref="H5">
      <x:formula1>"Não iniciado,Em preenchimento,Em revisão,Concluído"</x:formula1>
    </x:dataValidation>
    <x:dataValidation type="list" sqref="F10:F20">
      <x:formula1>"Não iniciado,Em preenchimento,Concluído,N/A"</x:formula1>
    </x:dataValidation>
  </x:dataValidations>
  <x:pageMargins left="0.7" right="0.7" top="0.75" bottom="0.75" header="0.3" footer="0.3"/>
</x:worksheet>
</file>

<file path=xl/worksheets/sheet53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24" hidden="0" customWidth="1"/>
    <x:col min="3" max="3" width="24" hidden="0" customWidth="1"/>
    <x:col min="4" max="4" width="24" hidden="0" customWidth="1"/>
    <x:col min="5" max="5" width="24" hidden="0" customWidth="1"/>
    <x:col min="6" max="6" width="24" hidden="0" customWidth="1"/>
    <x:col min="7" max="7" width="22" hidden="0" customWidth="1"/>
    <x:col min="8" max="8" width="34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</x:cols>
  <x:sheetData>
    <x:row r="1">
      <x:c r="A1" s="4" t="str">
        <x:v>Matriz morfológica</x:v>
      </x:c>
      <x:c r="B1" s="4"/>
      <x:c r="C1" s="4"/>
      <x:c r="D1" s="4"/>
      <x:c r="E1" s="4"/>
      <x:c r="F1" s="4"/>
      <x:c r="G1" s="4"/>
      <x:c r="H1" s="4"/>
    </x:row>
    <x:row r="2">
      <x:c r="A2" s="11" t="str">
        <x:v>Ferramenta do ciclo de idealização até conceito aprovado. Preencha somente quando aplicável ao produto.</x:v>
      </x:c>
      <x:c r="B2" s="11"/>
      <x:c r="C2" s="11"/>
      <x:c r="D2" s="11"/>
      <x:c r="E2" s="11"/>
      <x:c r="F2" s="11"/>
      <x:c r="G2" s="11"/>
      <x:c r="H2" s="11"/>
    </x:row>
    <x:row r="3">
      <x:c r="A3" s="58" t="str">
        <x:v>Código</x:v>
      </x:c>
      <x:c r="B3" s="32" t="str">
        <x:v>G3_MORFO</x:v>
      </x:c>
      <x:c r="C3" s="32" t="str"/>
      <x:c r="D3" s="58" t="str">
        <x:v>Gate</x:v>
      </x:c>
      <x:c r="E3" s="32" t="str">
        <x:v>Gate 3 — Geração de Alternativas</x:v>
      </x:c>
      <x:c r="F3" s="32" t="str"/>
      <x:c r="G3" s="58" t="str">
        <x:v>Tipo</x:v>
      </x:c>
      <x:c r="H3" s="32" t="str">
        <x:v>Ideação</x:v>
      </x:c>
    </x:row>
    <x:row r="4">
      <x:c r="A4" s="58" t="str">
        <x:v>Propósito</x:v>
      </x:c>
      <x:c r="B4" s="32" t="str">
        <x:v>Combinar subfunções e soluções</x:v>
      </x:c>
      <x:c r="C4" s="32" t="str"/>
      <x:c r="D4" s="58" t="str">
        <x:v>Quando usar</x:v>
      </x:c>
      <x:c r="E4" s="32" t="str">
        <x:v>Conforme pacote inteligente / Mapa_Selecao</x:v>
      </x:c>
      <x:c r="F4" s="32" t="str"/>
      <x:c r="G4" s="58" t="str">
        <x:v>Observações</x:v>
      </x:c>
      <x:c r="H4" s="32" t="str">
        <x:v>Não substitui projeto detalhado; registra hipóteses, alertas e incertezas.</x:v>
      </x:c>
    </x:row>
    <x:row r="5">
      <x:c r="A5" s="58" t="str">
        <x:v>Produto</x:v>
      </x:c>
      <x:c r="B5" s="32" t="str">
        <x:f>IF(Dashboard!B4="","",Dashboard!B4)</x:f>
      </x:c>
      <x:c r="C5" s="32" t="str"/>
      <x:c r="D5" s="58" t="str">
        <x:v>Responsável</x:v>
      </x:c>
      <x:c r="E5" s="32" t="str">
        <x:f>IF(Dashboard!B6="","",Dashboard!B6)</x:f>
      </x:c>
      <x:c r="F5" s="32" t="str"/>
      <x:c r="G5" s="58" t="str">
        <x:v>Status</x:v>
      </x:c>
      <x:c r="H5" s="32" t="str"/>
    </x:row>
    <x:row r="6">
      <x:c r="A6" s="61" t="e">
        <x:f>HYPERLINK("#'Dashboard'!A1","← Dashboard")</x:f>
      </x:c>
      <x:c r="B6" s="61" t="e">
        <x:f>HYPERLINK("#'Indice'!A1","Índice")</x:f>
      </x:c>
      <x:c r="C6" s="61" t="e">
        <x:f>HYPERLINK("#'Mapa_Selecao'!A1","Mapa de seleção")</x:f>
      </x:c>
    </x:row>
    <x:row r="8">
      <x:c r="A8" s="66" t="str">
        <x:v>Matriz morfológica</x:v>
      </x:c>
      <x:c r="B8" s="66"/>
      <x:c r="C8" s="66"/>
      <x:c r="D8" s="66"/>
      <x:c r="E8" s="66"/>
      <x:c r="F8" s="66"/>
      <x:c r="G8" s="66"/>
      <x:c r="H8" s="66"/>
    </x:row>
    <x:row r="9">
      <x:c r="A9" s="20" t="str">
        <x:v>Subfunção</x:v>
      </x:c>
      <x:c r="B9" s="20" t="str">
        <x:v>Alternativa 1</x:v>
      </x:c>
      <x:c r="C9" s="20" t="str">
        <x:v>Alternativa 2</x:v>
      </x:c>
      <x:c r="D9" s="20" t="str">
        <x:v>Alternativa 3</x:v>
      </x:c>
      <x:c r="E9" s="20" t="str">
        <x:v>Alternativa 4</x:v>
      </x:c>
      <x:c r="F9" s="20" t="str">
        <x:v>Alternativa 5</x:v>
      </x:c>
      <x:c r="G9" s="20" t="str">
        <x:v>Selecionada</x:v>
      </x:c>
      <x:c r="H9" s="20" t="str">
        <x:v>Observação</x:v>
      </x:c>
    </x:row>
    <x:row r="10">
      <x:c r="A10" s="37" t="str"/>
      <x:c r="B10" s="37" t="str"/>
      <x:c r="C10" s="37" t="str"/>
      <x:c r="D10" s="37" t="str"/>
      <x:c r="E10" s="37" t="str"/>
      <x:c r="F10" s="37" t="str"/>
      <x:c r="G10" s="37" t="str"/>
      <x:c r="H10" s="37" t="str"/>
    </x:row>
    <x:row r="11">
      <x:c r="A11" s="37" t="str"/>
      <x:c r="B11" s="37" t="str"/>
      <x:c r="C11" s="37" t="str"/>
      <x:c r="D11" s="37" t="str"/>
      <x:c r="E11" s="37" t="str"/>
      <x:c r="F11" s="37" t="str"/>
      <x:c r="G11" s="37" t="str"/>
      <x:c r="H11" s="37" t="str"/>
    </x:row>
    <x:row r="12">
      <x:c r="A12" s="37" t="str"/>
      <x:c r="B12" s="37" t="str"/>
      <x:c r="C12" s="37" t="str"/>
      <x:c r="D12" s="37" t="str"/>
      <x:c r="E12" s="37" t="str"/>
      <x:c r="F12" s="37" t="str"/>
      <x:c r="G12" s="37" t="str"/>
      <x:c r="H12" s="37" t="str"/>
    </x:row>
    <x:row r="13">
      <x:c r="A13" s="37" t="str"/>
      <x:c r="B13" s="37" t="str"/>
      <x:c r="C13" s="37" t="str"/>
      <x:c r="D13" s="37" t="str"/>
      <x:c r="E13" s="37" t="str"/>
      <x:c r="F13" s="37" t="str"/>
      <x:c r="G13" s="37" t="str"/>
      <x:c r="H13" s="37" t="str"/>
    </x:row>
    <x:row r="14">
      <x:c r="A14" s="37" t="str"/>
      <x:c r="B14" s="37" t="str"/>
      <x:c r="C14" s="37" t="str"/>
      <x:c r="D14" s="37" t="str"/>
      <x:c r="E14" s="37" t="str"/>
      <x:c r="F14" s="37" t="str"/>
      <x:c r="G14" s="37" t="str"/>
      <x:c r="H14" s="37" t="str"/>
    </x:row>
    <x:row r="15">
      <x:c r="A15" s="37" t="str"/>
      <x:c r="B15" s="37" t="str"/>
      <x:c r="C15" s="37" t="str"/>
      <x:c r="D15" s="37" t="str"/>
      <x:c r="E15" s="37" t="str"/>
      <x:c r="F15" s="37" t="str"/>
      <x:c r="G15" s="37" t="str"/>
      <x:c r="H15" s="37" t="str"/>
    </x:row>
    <x:row r="16">
      <x:c r="A16" s="37" t="str"/>
      <x:c r="B16" s="37" t="str"/>
      <x:c r="C16" s="37" t="str"/>
      <x:c r="D16" s="37" t="str"/>
      <x:c r="E16" s="37" t="str"/>
      <x:c r="F16" s="37" t="str"/>
      <x:c r="G16" s="37" t="str"/>
      <x:c r="H16" s="37" t="str"/>
    </x:row>
    <x:row r="17">
      <x:c r="A17" s="37" t="str"/>
      <x:c r="B17" s="37" t="str"/>
      <x:c r="C17" s="37" t="str"/>
      <x:c r="D17" s="37" t="str"/>
      <x:c r="E17" s="37" t="str"/>
      <x:c r="F17" s="37" t="str"/>
      <x:c r="G17" s="37" t="str"/>
      <x:c r="H17" s="37" t="str"/>
    </x:row>
    <x:row r="18">
      <x:c r="A18" s="37" t="str"/>
      <x:c r="B18" s="37" t="str"/>
      <x:c r="C18" s="37" t="str"/>
      <x:c r="D18" s="37" t="str"/>
      <x:c r="E18" s="37" t="str"/>
      <x:c r="F18" s="37" t="str"/>
      <x:c r="G18" s="37" t="str"/>
      <x:c r="H18" s="37" t="str"/>
    </x:row>
    <x:row r="19">
      <x:c r="A19" s="37" t="str"/>
      <x:c r="B19" s="37" t="str"/>
      <x:c r="C19" s="37" t="str"/>
      <x:c r="D19" s="37" t="str"/>
      <x:c r="E19" s="37" t="str"/>
      <x:c r="F19" s="37" t="str"/>
      <x:c r="G19" s="37" t="str"/>
      <x:c r="H19" s="37" t="str"/>
    </x:row>
    <x:row r="20">
      <x:c r="A20" s="37" t="str"/>
      <x:c r="B20" s="37" t="str"/>
      <x:c r="C20" s="37" t="str"/>
      <x:c r="D20" s="37" t="str"/>
      <x:c r="E20" s="37" t="str"/>
      <x:c r="F20" s="37" t="str"/>
      <x:c r="G20" s="37" t="str"/>
      <x:c r="H20" s="37" t="str"/>
    </x:row>
    <x:row r="21">
      <x:c r="A21" s="37" t="str"/>
      <x:c r="B21" s="37" t="str"/>
      <x:c r="C21" s="37" t="str"/>
      <x:c r="D21" s="37" t="str"/>
      <x:c r="E21" s="37" t="str"/>
      <x:c r="F21" s="37" t="str"/>
      <x:c r="G21" s="37" t="str"/>
      <x:c r="H21" s="37" t="str"/>
    </x:row>
  </x:sheetData>
  <x:mergeCells>
    <x:mergeCell ref="A1:H1"/>
    <x:mergeCell ref="A2:H2"/>
    <x:mergeCell ref="A8:H8"/>
  </x:mergeCells>
  <x:dataValidations count="1">
    <x:dataValidation type="list" sqref="H5">
      <x:formula1>"Não iniciado,Em preenchimento,Em revisão,Concluído"</x:formula1>
    </x:dataValidation>
  </x:dataValidations>
  <x:pageMargins left="0.7" right="0.7" top="0.75" bottom="0.75" header="0.3" footer="0.3"/>
</x:worksheet>
</file>

<file path=xl/worksheets/sheet54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38" hidden="0" customWidth="1"/>
    <x:col min="3" max="3" width="28" hidden="0" customWidth="1"/>
    <x:col min="4" max="4" width="42" hidden="0" customWidth="1"/>
    <x:col min="5" max="5" width="18" hidden="0" customWidth="1"/>
    <x:col min="6" max="6" width="16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</x:cols>
  <x:sheetData>
    <x:row r="1">
      <x:c r="A1" s="4" t="str">
        <x:v>Árvore de classificação de conceitos</x:v>
      </x:c>
      <x:c r="B1" s="4"/>
      <x:c r="C1" s="4"/>
      <x:c r="D1" s="4"/>
      <x:c r="E1" s="4"/>
      <x:c r="F1" s="4"/>
      <x:c r="G1" s="4"/>
      <x:c r="H1" s="4"/>
    </x:row>
    <x:row r="2">
      <x:c r="A2" s="11" t="str">
        <x:v>Ferramenta do ciclo de idealização até conceito aprovado. Preencha somente quando aplicável ao produto.</x:v>
      </x:c>
      <x:c r="B2" s="11"/>
      <x:c r="C2" s="11"/>
      <x:c r="D2" s="11"/>
      <x:c r="E2" s="11"/>
      <x:c r="F2" s="11"/>
      <x:c r="G2" s="11"/>
      <x:c r="H2" s="11"/>
    </x:row>
    <x:row r="3">
      <x:c r="A3" s="58" t="str">
        <x:v>Código</x:v>
      </x:c>
      <x:c r="B3" s="32" t="str">
        <x:v>G3_ARVORE</x:v>
      </x:c>
      <x:c r="C3" s="32" t="str"/>
      <x:c r="D3" s="58" t="str">
        <x:v>Gate</x:v>
      </x:c>
      <x:c r="E3" s="32" t="str">
        <x:v>Gate 3 — Geração de Alternativas</x:v>
      </x:c>
      <x:c r="F3" s="32" t="str"/>
      <x:c r="G3" s="58" t="str">
        <x:v>Tipo</x:v>
      </x:c>
      <x:c r="H3" s="32" t="str">
        <x:v>Ideação</x:v>
      </x:c>
    </x:row>
    <x:row r="4">
      <x:c r="A4" s="58" t="str">
        <x:v>Propósito</x:v>
      </x:c>
      <x:c r="B4" s="32" t="str">
        <x:v>Organizar famílias de soluções</x:v>
      </x:c>
      <x:c r="C4" s="32" t="str"/>
      <x:c r="D4" s="58" t="str">
        <x:v>Quando usar</x:v>
      </x:c>
      <x:c r="E4" s="32" t="str">
        <x:v>Conforme pacote inteligente / Mapa_Selecao</x:v>
      </x:c>
      <x:c r="F4" s="32" t="str"/>
      <x:c r="G4" s="58" t="str">
        <x:v>Observações</x:v>
      </x:c>
      <x:c r="H4" s="32" t="str">
        <x:v>Não substitui projeto detalhado; registra hipóteses, alertas e incertezas.</x:v>
      </x:c>
    </x:row>
    <x:row r="5">
      <x:c r="A5" s="58" t="str">
        <x:v>Produto</x:v>
      </x:c>
      <x:c r="B5" s="32" t="str">
        <x:f>IF(Dashboard!B4="","",Dashboard!B4)</x:f>
      </x:c>
      <x:c r="C5" s="32" t="str"/>
      <x:c r="D5" s="58" t="str">
        <x:v>Responsável</x:v>
      </x:c>
      <x:c r="E5" s="32" t="str">
        <x:f>IF(Dashboard!B6="","",Dashboard!B6)</x:f>
      </x:c>
      <x:c r="F5" s="32" t="str"/>
      <x:c r="G5" s="58" t="str">
        <x:v>Status</x:v>
      </x:c>
      <x:c r="H5" s="32" t="str"/>
    </x:row>
    <x:row r="6">
      <x:c r="A6" s="61" t="e">
        <x:f>HYPERLINK("#'Dashboard'!A1","← Dashboard")</x:f>
      </x:c>
      <x:c r="B6" s="61" t="e">
        <x:f>HYPERLINK("#'Indice'!A1","Índice")</x:f>
      </x:c>
      <x:c r="C6" s="61" t="e">
        <x:f>HYPERLINK("#'Mapa_Selecao'!A1","Mapa de seleção")</x:f>
      </x:c>
    </x:row>
    <x:row r="8">
      <x:c r="A8" s="66" t="str">
        <x:v>Formulário de aplicação da ferramenta</x:v>
      </x:c>
      <x:c r="B8" s="66"/>
      <x:c r="C8" s="66"/>
      <x:c r="D8" s="66"/>
      <x:c r="E8" s="66"/>
      <x:c r="F8" s="66"/>
    </x:row>
    <x:row r="9">
      <x:c r="A9" s="20" t="str">
        <x:v>Item</x:v>
      </x:c>
      <x:c r="B9" s="20" t="str">
        <x:v>Pergunta / campo</x:v>
      </x:c>
      <x:c r="C9" s="20" t="str">
        <x:v>Resposta</x:v>
      </x:c>
      <x:c r="D9" s="20" t="str">
        <x:v>Evidência / observação</x:v>
      </x:c>
      <x:c r="E9" s="20" t="str">
        <x:v>Responsável</x:v>
      </x:c>
      <x:c r="F9" s="20" t="str">
        <x:v>Status</x:v>
      </x:c>
    </x:row>
    <x:row r="10">
      <x:c r="A10" s="32" t="str">
        <x:v>1</x:v>
      </x:c>
      <x:c r="B10" s="32" t="str">
        <x:v>Qual é o objetivo desta ferramenta para este produto?</x:v>
      </x:c>
      <x:c r="C10" s="32" t="str"/>
      <x:c r="D10" s="32" t="str"/>
      <x:c r="E10" s="32" t="str"/>
      <x:c r="F10" s="32" t="str"/>
    </x:row>
    <x:row r="11">
      <x:c r="A11" s="32" t="str">
        <x:v>2</x:v>
      </x:c>
      <x:c r="B11" s="32" t="str">
        <x:v>Quais informações já estão disponíveis?</x:v>
      </x:c>
      <x:c r="C11" s="32" t="str"/>
      <x:c r="D11" s="32" t="str"/>
      <x:c r="E11" s="32" t="str"/>
      <x:c r="F11" s="32" t="str"/>
    </x:row>
    <x:row r="12">
      <x:c r="A12" s="32" t="str">
        <x:v>3</x:v>
      </x:c>
      <x:c r="B12" s="32" t="str">
        <x:v>Quais informações ainda estão pendentes?</x:v>
      </x:c>
      <x:c r="C12" s="32" t="str"/>
      <x:c r="D12" s="32" t="str"/>
      <x:c r="E12" s="32" t="str"/>
      <x:c r="F12" s="32" t="str"/>
    </x:row>
    <x:row r="13">
      <x:c r="A13" s="32" t="str">
        <x:v>4</x:v>
      </x:c>
      <x:c r="B13" s="32" t="str">
        <x:v>Quais achados impactam o conceito?</x:v>
      </x:c>
      <x:c r="C13" s="32" t="str"/>
      <x:c r="D13" s="32" t="str"/>
      <x:c r="E13" s="32" t="str"/>
      <x:c r="F13" s="32" t="str"/>
    </x:row>
    <x:row r="14">
      <x:c r="A14" s="32" t="str">
        <x:v>5</x:v>
      </x:c>
      <x:c r="B14" s="32" t="str">
        <x:v>Quais incertezas devem seguir para o próximo Gate?</x:v>
      </x:c>
      <x:c r="C14" s="32" t="str"/>
      <x:c r="D14" s="32" t="str"/>
      <x:c r="E14" s="32" t="str"/>
      <x:c r="F14" s="32" t="str"/>
    </x:row>
    <x:row r="15">
      <x:c r="A15" s="32"/>
      <x:c r="B15" s="32"/>
      <x:c r="C15" s="32"/>
      <x:c r="D15" s="32"/>
      <x:c r="E15" s="32"/>
      <x:c r="F15" s="32"/>
    </x:row>
    <x:row r="16">
      <x:c r="A16" s="32"/>
      <x:c r="B16" s="32"/>
      <x:c r="C16" s="32"/>
      <x:c r="D16" s="32"/>
      <x:c r="E16" s="32"/>
      <x:c r="F16" s="32"/>
    </x:row>
    <x:row r="17">
      <x:c r="A17" s="32"/>
      <x:c r="B17" s="32"/>
      <x:c r="C17" s="32"/>
      <x:c r="D17" s="32"/>
      <x:c r="E17" s="32"/>
      <x:c r="F17" s="32"/>
    </x:row>
    <x:row r="18">
      <x:c r="A18" s="32"/>
      <x:c r="B18" s="32"/>
      <x:c r="C18" s="32"/>
      <x:c r="D18" s="32"/>
      <x:c r="E18" s="32"/>
      <x:c r="F18" s="32"/>
    </x:row>
    <x:row r="19">
      <x:c r="A19" s="32"/>
      <x:c r="B19" s="32"/>
      <x:c r="C19" s="32"/>
      <x:c r="D19" s="32"/>
      <x:c r="E19" s="32"/>
      <x:c r="F19" s="32"/>
    </x:row>
    <x:row r="20">
      <x:c r="A20" s="32"/>
      <x:c r="B20" s="32"/>
      <x:c r="C20" s="32"/>
      <x:c r="D20" s="32"/>
      <x:c r="E20" s="32"/>
      <x:c r="F20" s="32"/>
    </x:row>
  </x:sheetData>
  <x:mergeCells>
    <x:mergeCell ref="A1:H1"/>
    <x:mergeCell ref="A2:H2"/>
    <x:mergeCell ref="A8:F8"/>
  </x:mergeCells>
  <x:dataValidations count="2">
    <x:dataValidation type="list" sqref="H5">
      <x:formula1>"Não iniciado,Em preenchimento,Em revisão,Concluído"</x:formula1>
    </x:dataValidation>
    <x:dataValidation type="list" sqref="F10:F20">
      <x:formula1>"Não iniciado,Em preenchimento,Concluído,N/A"</x:formula1>
    </x:dataValidation>
  </x:dataValidations>
  <x:pageMargins left="0.7" right="0.7" top="0.75" bottom="0.75" header="0.3" footer="0.3"/>
</x:worksheet>
</file>

<file path=xl/worksheets/sheet55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42" hidden="0" customWidth="1"/>
    <x:col min="3" max="3" width="42" hidden="0" customWidth="1"/>
    <x:col min="4" max="4" width="34" hidden="0" customWidth="1"/>
    <x:col min="5" max="5" width="34" hidden="0" customWidth="1"/>
    <x:col min="6" max="6" width="14" hidden="0" customWidth="1"/>
    <x:col min="7" max="7" width="22" hidden="0" customWidth="1"/>
    <x:col min="8" max="8" width="22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</x:cols>
  <x:sheetData>
    <x:row r="1">
      <x:c r="A1" s="4" t="str">
        <x:v>Tabela de combinação de conceitos</x:v>
      </x:c>
      <x:c r="B1" s="4"/>
      <x:c r="C1" s="4"/>
      <x:c r="D1" s="4"/>
      <x:c r="E1" s="4"/>
      <x:c r="F1" s="4"/>
      <x:c r="G1" s="4"/>
      <x:c r="H1" s="4"/>
    </x:row>
    <x:row r="2">
      <x:c r="A2" s="11" t="str">
        <x:v>Ferramenta do ciclo de idealização até conceito aprovado. Preencha somente quando aplicável ao produto.</x:v>
      </x:c>
      <x:c r="B2" s="11"/>
      <x:c r="C2" s="11"/>
      <x:c r="D2" s="11"/>
      <x:c r="E2" s="11"/>
      <x:c r="F2" s="11"/>
      <x:c r="G2" s="11"/>
      <x:c r="H2" s="11"/>
    </x:row>
    <x:row r="3">
      <x:c r="A3" s="58" t="str">
        <x:v>Código</x:v>
      </x:c>
      <x:c r="B3" s="32" t="str">
        <x:v>G3_COMBO</x:v>
      </x:c>
      <x:c r="C3" s="32" t="str"/>
      <x:c r="D3" s="58" t="str">
        <x:v>Gate</x:v>
      </x:c>
      <x:c r="E3" s="32" t="str">
        <x:v>Gate 3 — Geração de Alternativas</x:v>
      </x:c>
      <x:c r="F3" s="32" t="str"/>
      <x:c r="G3" s="58" t="str">
        <x:v>Tipo</x:v>
      </x:c>
      <x:c r="H3" s="32" t="str">
        <x:v>Ideação</x:v>
      </x:c>
    </x:row>
    <x:row r="4">
      <x:c r="A4" s="58" t="str">
        <x:v>Propósito</x:v>
      </x:c>
      <x:c r="B4" s="32" t="str">
        <x:v>Montar combinações promissoras</x:v>
      </x:c>
      <x:c r="C4" s="32" t="str"/>
      <x:c r="D4" s="58" t="str">
        <x:v>Quando usar</x:v>
      </x:c>
      <x:c r="E4" s="32" t="str">
        <x:v>Conforme pacote inteligente / Mapa_Selecao</x:v>
      </x:c>
      <x:c r="F4" s="32" t="str"/>
      <x:c r="G4" s="58" t="str">
        <x:v>Observações</x:v>
      </x:c>
      <x:c r="H4" s="32" t="str">
        <x:v>Não substitui projeto detalhado; registra hipóteses, alertas e incertezas.</x:v>
      </x:c>
    </x:row>
    <x:row r="5">
      <x:c r="A5" s="58" t="str">
        <x:v>Produto</x:v>
      </x:c>
      <x:c r="B5" s="32" t="str">
        <x:f>IF(Dashboard!B4="","",Dashboard!B4)</x:f>
      </x:c>
      <x:c r="C5" s="32" t="str"/>
      <x:c r="D5" s="58" t="str">
        <x:v>Responsável</x:v>
      </x:c>
      <x:c r="E5" s="32" t="str">
        <x:f>IF(Dashboard!B6="","",Dashboard!B6)</x:f>
      </x:c>
      <x:c r="F5" s="32" t="str"/>
      <x:c r="G5" s="58" t="str">
        <x:v>Status</x:v>
      </x:c>
      <x:c r="H5" s="32" t="str"/>
    </x:row>
    <x:row r="6">
      <x:c r="A6" s="61" t="e">
        <x:f>HYPERLINK("#'Dashboard'!A1","← Dashboard")</x:f>
      </x:c>
      <x:c r="B6" s="61" t="e">
        <x:f>HYPERLINK("#'Indice'!A1","Índice")</x:f>
      </x:c>
      <x:c r="C6" s="61" t="e">
        <x:f>HYPERLINK("#'Mapa_Selecao'!A1","Mapa de seleção")</x:f>
      </x:c>
    </x:row>
    <x:row r="8">
      <x:c r="A8" s="66" t="str">
        <x:v>Tabela de combinação de conceitos</x:v>
      </x:c>
      <x:c r="B8" s="66"/>
      <x:c r="C8" s="66"/>
      <x:c r="D8" s="66"/>
      <x:c r="E8" s="66"/>
      <x:c r="F8" s="66"/>
    </x:row>
    <x:row r="9">
      <x:c r="A9" s="20" t="str">
        <x:v>Conceito</x:v>
      </x:c>
      <x:c r="B9" s="20" t="str">
        <x:v>Combinação de alternativas</x:v>
      </x:c>
      <x:c r="C9" s="20" t="str">
        <x:v>Descrição</x:v>
      </x:c>
      <x:c r="D9" s="20" t="str">
        <x:v>Benefício esperado</x:v>
      </x:c>
      <x:c r="E9" s="20" t="str">
        <x:v>Incerteza principal</x:v>
      </x:c>
      <x:c r="F9" s="20" t="str">
        <x:v>Avança?</x:v>
      </x:c>
    </x:row>
    <x:row r="10">
      <x:c r="A10" s="37" t="str"/>
      <x:c r="B10" s="37" t="str"/>
      <x:c r="C10" s="37" t="str"/>
      <x:c r="D10" s="37" t="str"/>
      <x:c r="E10" s="37" t="str"/>
      <x:c r="F10" s="37" t="str"/>
    </x:row>
    <x:row r="11">
      <x:c r="A11" s="37" t="str"/>
      <x:c r="B11" s="37" t="str"/>
      <x:c r="C11" s="37" t="str"/>
      <x:c r="D11" s="37" t="str"/>
      <x:c r="E11" s="37" t="str"/>
      <x:c r="F11" s="37" t="str"/>
    </x:row>
    <x:row r="12">
      <x:c r="A12" s="37" t="str"/>
      <x:c r="B12" s="37" t="str"/>
      <x:c r="C12" s="37" t="str"/>
      <x:c r="D12" s="37" t="str"/>
      <x:c r="E12" s="37" t="str"/>
      <x:c r="F12" s="37" t="str"/>
    </x:row>
    <x:row r="13">
      <x:c r="A13" s="37" t="str"/>
      <x:c r="B13" s="37" t="str"/>
      <x:c r="C13" s="37" t="str"/>
      <x:c r="D13" s="37" t="str"/>
      <x:c r="E13" s="37" t="str"/>
      <x:c r="F13" s="37" t="str"/>
    </x:row>
    <x:row r="14">
      <x:c r="A14" s="37" t="str"/>
      <x:c r="B14" s="37" t="str"/>
      <x:c r="C14" s="37" t="str"/>
      <x:c r="D14" s="37" t="str"/>
      <x:c r="E14" s="37" t="str"/>
      <x:c r="F14" s="37" t="str"/>
    </x:row>
    <x:row r="15">
      <x:c r="A15" s="37" t="str"/>
      <x:c r="B15" s="37" t="str"/>
      <x:c r="C15" s="37" t="str"/>
      <x:c r="D15" s="37" t="str"/>
      <x:c r="E15" s="37" t="str"/>
      <x:c r="F15" s="37" t="str"/>
    </x:row>
    <x:row r="16">
      <x:c r="A16" s="37" t="str"/>
      <x:c r="B16" s="37" t="str"/>
      <x:c r="C16" s="37" t="str"/>
      <x:c r="D16" s="37" t="str"/>
      <x:c r="E16" s="37" t="str"/>
      <x:c r="F16" s="37" t="str"/>
    </x:row>
    <x:row r="17">
      <x:c r="A17" s="37" t="str"/>
      <x:c r="B17" s="37" t="str"/>
      <x:c r="C17" s="37" t="str"/>
      <x:c r="D17" s="37" t="str"/>
      <x:c r="E17" s="37" t="str"/>
      <x:c r="F17" s="37" t="str"/>
    </x:row>
    <x:row r="18">
      <x:c r="A18" s="37" t="str"/>
      <x:c r="B18" s="37" t="str"/>
      <x:c r="C18" s="37" t="str"/>
      <x:c r="D18" s="37" t="str"/>
      <x:c r="E18" s="37" t="str"/>
      <x:c r="F18" s="37" t="str"/>
    </x:row>
    <x:row r="19">
      <x:c r="A19" s="37" t="str"/>
      <x:c r="B19" s="37" t="str"/>
      <x:c r="C19" s="37" t="str"/>
      <x:c r="D19" s="37" t="str"/>
      <x:c r="E19" s="37" t="str"/>
      <x:c r="F19" s="37" t="str"/>
    </x:row>
  </x:sheetData>
  <x:mergeCells>
    <x:mergeCell ref="A1:H1"/>
    <x:mergeCell ref="A2:H2"/>
    <x:mergeCell ref="A8:F8"/>
  </x:mergeCells>
  <x:dataValidations count="2">
    <x:dataValidation type="list" sqref="H5">
      <x:formula1>"Não iniciado,Em preenchimento,Em revisão,Concluído"</x:formula1>
    </x:dataValidation>
    <x:dataValidation type="list" sqref="F10:F19">
      <x:formula1>"Sim,Não,Revisar"</x:formula1>
    </x:dataValidation>
  </x:dataValidations>
  <x:pageMargins left="0.7" right="0.7" top="0.75" bottom="0.75" header="0.3" footer="0.3"/>
</x:worksheet>
</file>

<file path=xl/worksheets/sheet56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38" hidden="0" customWidth="1"/>
    <x:col min="3" max="3" width="28" hidden="0" customWidth="1"/>
    <x:col min="4" max="4" width="42" hidden="0" customWidth="1"/>
    <x:col min="5" max="5" width="18" hidden="0" customWidth="1"/>
    <x:col min="6" max="6" width="16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</x:cols>
  <x:sheetData>
    <x:row r="1">
      <x:c r="A1" s="4" t="str">
        <x:v>Sketch conceitual</x:v>
      </x:c>
      <x:c r="B1" s="4"/>
      <x:c r="C1" s="4"/>
      <x:c r="D1" s="4"/>
      <x:c r="E1" s="4"/>
      <x:c r="F1" s="4"/>
      <x:c r="G1" s="4"/>
      <x:c r="H1" s="4"/>
    </x:row>
    <x:row r="2">
      <x:c r="A2" s="11" t="str">
        <x:v>Ferramenta do ciclo de idealização até conceito aprovado. Preencha somente quando aplicável ao produto.</x:v>
      </x:c>
      <x:c r="B2" s="11"/>
      <x:c r="C2" s="11"/>
      <x:c r="D2" s="11"/>
      <x:c r="E2" s="11"/>
      <x:c r="F2" s="11"/>
      <x:c r="G2" s="11"/>
      <x:c r="H2" s="11"/>
    </x:row>
    <x:row r="3">
      <x:c r="A3" s="58" t="str">
        <x:v>Código</x:v>
      </x:c>
      <x:c r="B3" s="32" t="str">
        <x:v>G3_SKETCH</x:v>
      </x:c>
      <x:c r="C3" s="32" t="str"/>
      <x:c r="D3" s="58" t="str">
        <x:v>Gate</x:v>
      </x:c>
      <x:c r="E3" s="32" t="str">
        <x:v>Gate 3 — Geração de Alternativas</x:v>
      </x:c>
      <x:c r="F3" s="32" t="str"/>
      <x:c r="G3" s="58" t="str">
        <x:v>Tipo</x:v>
      </x:c>
      <x:c r="H3" s="32" t="str">
        <x:v>Ideação</x:v>
      </x:c>
    </x:row>
    <x:row r="4">
      <x:c r="A4" s="58" t="str">
        <x:v>Propósito</x:v>
      </x:c>
      <x:c r="B4" s="32" t="str">
        <x:v>Representar visualmente alternativas</x:v>
      </x:c>
      <x:c r="C4" s="32" t="str"/>
      <x:c r="D4" s="58" t="str">
        <x:v>Quando usar</x:v>
      </x:c>
      <x:c r="E4" s="32" t="str">
        <x:v>Conforme pacote inteligente / Mapa_Selecao</x:v>
      </x:c>
      <x:c r="F4" s="32" t="str"/>
      <x:c r="G4" s="58" t="str">
        <x:v>Observações</x:v>
      </x:c>
      <x:c r="H4" s="32" t="str">
        <x:v>Não substitui projeto detalhado; registra hipóteses, alertas e incertezas.</x:v>
      </x:c>
    </x:row>
    <x:row r="5">
      <x:c r="A5" s="58" t="str">
        <x:v>Produto</x:v>
      </x:c>
      <x:c r="B5" s="32" t="str">
        <x:f>IF(Dashboard!B4="","",Dashboard!B4)</x:f>
      </x:c>
      <x:c r="C5" s="32" t="str"/>
      <x:c r="D5" s="58" t="str">
        <x:v>Responsável</x:v>
      </x:c>
      <x:c r="E5" s="32" t="str">
        <x:f>IF(Dashboard!B6="","",Dashboard!B6)</x:f>
      </x:c>
      <x:c r="F5" s="32" t="str"/>
      <x:c r="G5" s="58" t="str">
        <x:v>Status</x:v>
      </x:c>
      <x:c r="H5" s="32" t="str"/>
    </x:row>
    <x:row r="6">
      <x:c r="A6" s="61" t="e">
        <x:f>HYPERLINK("#'Dashboard'!A1","← Dashboard")</x:f>
      </x:c>
      <x:c r="B6" s="61" t="e">
        <x:f>HYPERLINK("#'Indice'!A1","Índice")</x:f>
      </x:c>
      <x:c r="C6" s="61" t="e">
        <x:f>HYPERLINK("#'Mapa_Selecao'!A1","Mapa de seleção")</x:f>
      </x:c>
    </x:row>
    <x:row r="8">
      <x:c r="A8" s="66" t="str">
        <x:v>Formulário de aplicação da ferramenta</x:v>
      </x:c>
      <x:c r="B8" s="66"/>
      <x:c r="C8" s="66"/>
      <x:c r="D8" s="66"/>
      <x:c r="E8" s="66"/>
      <x:c r="F8" s="66"/>
    </x:row>
    <x:row r="9">
      <x:c r="A9" s="20" t="str">
        <x:v>Item</x:v>
      </x:c>
      <x:c r="B9" s="20" t="str">
        <x:v>Pergunta / campo</x:v>
      </x:c>
      <x:c r="C9" s="20" t="str">
        <x:v>Resposta</x:v>
      </x:c>
      <x:c r="D9" s="20" t="str">
        <x:v>Evidência / observação</x:v>
      </x:c>
      <x:c r="E9" s="20" t="str">
        <x:v>Responsável</x:v>
      </x:c>
      <x:c r="F9" s="20" t="str">
        <x:v>Status</x:v>
      </x:c>
    </x:row>
    <x:row r="10">
      <x:c r="A10" s="32" t="str">
        <x:v>1</x:v>
      </x:c>
      <x:c r="B10" s="32" t="str">
        <x:v>Qual é o objetivo desta ferramenta para este produto?</x:v>
      </x:c>
      <x:c r="C10" s="32" t="str"/>
      <x:c r="D10" s="32" t="str"/>
      <x:c r="E10" s="32" t="str"/>
      <x:c r="F10" s="32" t="str"/>
    </x:row>
    <x:row r="11">
      <x:c r="A11" s="32" t="str">
        <x:v>2</x:v>
      </x:c>
      <x:c r="B11" s="32" t="str">
        <x:v>Quais informações já estão disponíveis?</x:v>
      </x:c>
      <x:c r="C11" s="32" t="str"/>
      <x:c r="D11" s="32" t="str"/>
      <x:c r="E11" s="32" t="str"/>
      <x:c r="F11" s="32" t="str"/>
    </x:row>
    <x:row r="12">
      <x:c r="A12" s="32" t="str">
        <x:v>3</x:v>
      </x:c>
      <x:c r="B12" s="32" t="str">
        <x:v>Quais informações ainda estão pendentes?</x:v>
      </x:c>
      <x:c r="C12" s="32" t="str"/>
      <x:c r="D12" s="32" t="str"/>
      <x:c r="E12" s="32" t="str"/>
      <x:c r="F12" s="32" t="str"/>
    </x:row>
    <x:row r="13">
      <x:c r="A13" s="32" t="str">
        <x:v>4</x:v>
      </x:c>
      <x:c r="B13" s="32" t="str">
        <x:v>Quais achados impactam o conceito?</x:v>
      </x:c>
      <x:c r="C13" s="32" t="str"/>
      <x:c r="D13" s="32" t="str"/>
      <x:c r="E13" s="32" t="str"/>
      <x:c r="F13" s="32" t="str"/>
    </x:row>
    <x:row r="14">
      <x:c r="A14" s="32" t="str">
        <x:v>5</x:v>
      </x:c>
      <x:c r="B14" s="32" t="str">
        <x:v>Quais incertezas devem seguir para o próximo Gate?</x:v>
      </x:c>
      <x:c r="C14" s="32" t="str"/>
      <x:c r="D14" s="32" t="str"/>
      <x:c r="E14" s="32" t="str"/>
      <x:c r="F14" s="32" t="str"/>
    </x:row>
    <x:row r="15">
      <x:c r="A15" s="32"/>
      <x:c r="B15" s="32"/>
      <x:c r="C15" s="32"/>
      <x:c r="D15" s="32"/>
      <x:c r="E15" s="32"/>
      <x:c r="F15" s="32"/>
    </x:row>
    <x:row r="16">
      <x:c r="A16" s="32"/>
      <x:c r="B16" s="32"/>
      <x:c r="C16" s="32"/>
      <x:c r="D16" s="32"/>
      <x:c r="E16" s="32"/>
      <x:c r="F16" s="32"/>
    </x:row>
    <x:row r="17">
      <x:c r="A17" s="32"/>
      <x:c r="B17" s="32"/>
      <x:c r="C17" s="32"/>
      <x:c r="D17" s="32"/>
      <x:c r="E17" s="32"/>
      <x:c r="F17" s="32"/>
    </x:row>
    <x:row r="18">
      <x:c r="A18" s="32"/>
      <x:c r="B18" s="32"/>
      <x:c r="C18" s="32"/>
      <x:c r="D18" s="32"/>
      <x:c r="E18" s="32"/>
      <x:c r="F18" s="32"/>
    </x:row>
    <x:row r="19">
      <x:c r="A19" s="32"/>
      <x:c r="B19" s="32"/>
      <x:c r="C19" s="32"/>
      <x:c r="D19" s="32"/>
      <x:c r="E19" s="32"/>
      <x:c r="F19" s="32"/>
    </x:row>
    <x:row r="20">
      <x:c r="A20" s="32"/>
      <x:c r="B20" s="32"/>
      <x:c r="C20" s="32"/>
      <x:c r="D20" s="32"/>
      <x:c r="E20" s="32"/>
      <x:c r="F20" s="32"/>
    </x:row>
  </x:sheetData>
  <x:mergeCells>
    <x:mergeCell ref="A1:H1"/>
    <x:mergeCell ref="A2:H2"/>
    <x:mergeCell ref="A8:F8"/>
  </x:mergeCells>
  <x:dataValidations count="2">
    <x:dataValidation type="list" sqref="H5">
      <x:formula1>"Não iniciado,Em preenchimento,Em revisão,Concluído"</x:formula1>
    </x:dataValidation>
    <x:dataValidation type="list" sqref="F10:F20">
      <x:formula1>"Não iniciado,Em preenchimento,Concluído,N/A"</x:formula1>
    </x:dataValidation>
  </x:dataValidations>
  <x:pageMargins left="0.7" right="0.7" top="0.75" bottom="0.75" header="0.3" footer="0.3"/>
</x:worksheet>
</file>

<file path=xl/worksheets/sheet57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38" hidden="0" customWidth="1"/>
    <x:col min="3" max="3" width="28" hidden="0" customWidth="1"/>
    <x:col min="4" max="4" width="42" hidden="0" customWidth="1"/>
    <x:col min="5" max="5" width="18" hidden="0" customWidth="1"/>
    <x:col min="6" max="6" width="16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</x:cols>
  <x:sheetData>
    <x:row r="1">
      <x:c r="A1" s="4" t="str">
        <x:v>Storyboard de uso</x:v>
      </x:c>
      <x:c r="B1" s="4"/>
      <x:c r="C1" s="4"/>
      <x:c r="D1" s="4"/>
      <x:c r="E1" s="4"/>
      <x:c r="F1" s="4"/>
      <x:c r="G1" s="4"/>
      <x:c r="H1" s="4"/>
    </x:row>
    <x:row r="2">
      <x:c r="A2" s="11" t="str">
        <x:v>Ferramenta do ciclo de idealização até conceito aprovado. Preencha somente quando aplicável ao produto.</x:v>
      </x:c>
      <x:c r="B2" s="11"/>
      <x:c r="C2" s="11"/>
      <x:c r="D2" s="11"/>
      <x:c r="E2" s="11"/>
      <x:c r="F2" s="11"/>
      <x:c r="G2" s="11"/>
      <x:c r="H2" s="11"/>
    </x:row>
    <x:row r="3">
      <x:c r="A3" s="58" t="str">
        <x:v>Código</x:v>
      </x:c>
      <x:c r="B3" s="32" t="str">
        <x:v>G3_STORY</x:v>
      </x:c>
      <x:c r="C3" s="32" t="str"/>
      <x:c r="D3" s="58" t="str">
        <x:v>Gate</x:v>
      </x:c>
      <x:c r="E3" s="32" t="str">
        <x:v>Gate 3 — Geração de Alternativas</x:v>
      </x:c>
      <x:c r="F3" s="32" t="str"/>
      <x:c r="G3" s="58" t="str">
        <x:v>Tipo</x:v>
      </x:c>
      <x:c r="H3" s="32" t="str">
        <x:v>Ideação</x:v>
      </x:c>
    </x:row>
    <x:row r="4">
      <x:c r="A4" s="58" t="str">
        <x:v>Propósito</x:v>
      </x:c>
      <x:c r="B4" s="32" t="str">
        <x:v>Mostrar sequência de uso</x:v>
      </x:c>
      <x:c r="C4" s="32" t="str"/>
      <x:c r="D4" s="58" t="str">
        <x:v>Quando usar</x:v>
      </x:c>
      <x:c r="E4" s="32" t="str">
        <x:v>Conforme pacote inteligente / Mapa_Selecao</x:v>
      </x:c>
      <x:c r="F4" s="32" t="str"/>
      <x:c r="G4" s="58" t="str">
        <x:v>Observações</x:v>
      </x:c>
      <x:c r="H4" s="32" t="str">
        <x:v>Não substitui projeto detalhado; registra hipóteses, alertas e incertezas.</x:v>
      </x:c>
    </x:row>
    <x:row r="5">
      <x:c r="A5" s="58" t="str">
        <x:v>Produto</x:v>
      </x:c>
      <x:c r="B5" s="32" t="str">
        <x:f>IF(Dashboard!B4="","",Dashboard!B4)</x:f>
      </x:c>
      <x:c r="C5" s="32" t="str"/>
      <x:c r="D5" s="58" t="str">
        <x:v>Responsável</x:v>
      </x:c>
      <x:c r="E5" s="32" t="str">
        <x:f>IF(Dashboard!B6="","",Dashboard!B6)</x:f>
      </x:c>
      <x:c r="F5" s="32" t="str"/>
      <x:c r="G5" s="58" t="str">
        <x:v>Status</x:v>
      </x:c>
      <x:c r="H5" s="32" t="str"/>
    </x:row>
    <x:row r="6">
      <x:c r="A6" s="61" t="e">
        <x:f>HYPERLINK("#'Dashboard'!A1","← Dashboard")</x:f>
      </x:c>
      <x:c r="B6" s="61" t="e">
        <x:f>HYPERLINK("#'Indice'!A1","Índice")</x:f>
      </x:c>
      <x:c r="C6" s="61" t="e">
        <x:f>HYPERLINK("#'Mapa_Selecao'!A1","Mapa de seleção")</x:f>
      </x:c>
    </x:row>
    <x:row r="8">
      <x:c r="A8" s="66" t="str">
        <x:v>Formulário de aplicação da ferramenta</x:v>
      </x:c>
      <x:c r="B8" s="66"/>
      <x:c r="C8" s="66"/>
      <x:c r="D8" s="66"/>
      <x:c r="E8" s="66"/>
      <x:c r="F8" s="66"/>
    </x:row>
    <x:row r="9">
      <x:c r="A9" s="20" t="str">
        <x:v>Item</x:v>
      </x:c>
      <x:c r="B9" s="20" t="str">
        <x:v>Pergunta / campo</x:v>
      </x:c>
      <x:c r="C9" s="20" t="str">
        <x:v>Resposta</x:v>
      </x:c>
      <x:c r="D9" s="20" t="str">
        <x:v>Evidência / observação</x:v>
      </x:c>
      <x:c r="E9" s="20" t="str">
        <x:v>Responsável</x:v>
      </x:c>
      <x:c r="F9" s="20" t="str">
        <x:v>Status</x:v>
      </x:c>
    </x:row>
    <x:row r="10">
      <x:c r="A10" s="32" t="str">
        <x:v>1</x:v>
      </x:c>
      <x:c r="B10" s="32" t="str">
        <x:v>Qual é o objetivo desta ferramenta para este produto?</x:v>
      </x:c>
      <x:c r="C10" s="32" t="str"/>
      <x:c r="D10" s="32" t="str"/>
      <x:c r="E10" s="32" t="str"/>
      <x:c r="F10" s="32" t="str"/>
    </x:row>
    <x:row r="11">
      <x:c r="A11" s="32" t="str">
        <x:v>2</x:v>
      </x:c>
      <x:c r="B11" s="32" t="str">
        <x:v>Quais informações já estão disponíveis?</x:v>
      </x:c>
      <x:c r="C11" s="32" t="str"/>
      <x:c r="D11" s="32" t="str"/>
      <x:c r="E11" s="32" t="str"/>
      <x:c r="F11" s="32" t="str"/>
    </x:row>
    <x:row r="12">
      <x:c r="A12" s="32" t="str">
        <x:v>3</x:v>
      </x:c>
      <x:c r="B12" s="32" t="str">
        <x:v>Quais informações ainda estão pendentes?</x:v>
      </x:c>
      <x:c r="C12" s="32" t="str"/>
      <x:c r="D12" s="32" t="str"/>
      <x:c r="E12" s="32" t="str"/>
      <x:c r="F12" s="32" t="str"/>
    </x:row>
    <x:row r="13">
      <x:c r="A13" s="32" t="str">
        <x:v>4</x:v>
      </x:c>
      <x:c r="B13" s="32" t="str">
        <x:v>Quais achados impactam o conceito?</x:v>
      </x:c>
      <x:c r="C13" s="32" t="str"/>
      <x:c r="D13" s="32" t="str"/>
      <x:c r="E13" s="32" t="str"/>
      <x:c r="F13" s="32" t="str"/>
    </x:row>
    <x:row r="14">
      <x:c r="A14" s="32" t="str">
        <x:v>5</x:v>
      </x:c>
      <x:c r="B14" s="32" t="str">
        <x:v>Quais incertezas devem seguir para o próximo Gate?</x:v>
      </x:c>
      <x:c r="C14" s="32" t="str"/>
      <x:c r="D14" s="32" t="str"/>
      <x:c r="E14" s="32" t="str"/>
      <x:c r="F14" s="32" t="str"/>
    </x:row>
    <x:row r="15">
      <x:c r="A15" s="32"/>
      <x:c r="B15" s="32"/>
      <x:c r="C15" s="32"/>
      <x:c r="D15" s="32"/>
      <x:c r="E15" s="32"/>
      <x:c r="F15" s="32"/>
    </x:row>
    <x:row r="16">
      <x:c r="A16" s="32"/>
      <x:c r="B16" s="32"/>
      <x:c r="C16" s="32"/>
      <x:c r="D16" s="32"/>
      <x:c r="E16" s="32"/>
      <x:c r="F16" s="32"/>
    </x:row>
    <x:row r="17">
      <x:c r="A17" s="32"/>
      <x:c r="B17" s="32"/>
      <x:c r="C17" s="32"/>
      <x:c r="D17" s="32"/>
      <x:c r="E17" s="32"/>
      <x:c r="F17" s="32"/>
    </x:row>
    <x:row r="18">
      <x:c r="A18" s="32"/>
      <x:c r="B18" s="32"/>
      <x:c r="C18" s="32"/>
      <x:c r="D18" s="32"/>
      <x:c r="E18" s="32"/>
      <x:c r="F18" s="32"/>
    </x:row>
    <x:row r="19">
      <x:c r="A19" s="32"/>
      <x:c r="B19" s="32"/>
      <x:c r="C19" s="32"/>
      <x:c r="D19" s="32"/>
      <x:c r="E19" s="32"/>
      <x:c r="F19" s="32"/>
    </x:row>
    <x:row r="20">
      <x:c r="A20" s="32"/>
      <x:c r="B20" s="32"/>
      <x:c r="C20" s="32"/>
      <x:c r="D20" s="32"/>
      <x:c r="E20" s="32"/>
      <x:c r="F20" s="32"/>
    </x:row>
  </x:sheetData>
  <x:mergeCells>
    <x:mergeCell ref="A1:H1"/>
    <x:mergeCell ref="A2:H2"/>
    <x:mergeCell ref="A8:F8"/>
  </x:mergeCells>
  <x:dataValidations count="2">
    <x:dataValidation type="list" sqref="H5">
      <x:formula1>"Não iniciado,Em preenchimento,Em revisão,Concluído"</x:formula1>
    </x:dataValidation>
    <x:dataValidation type="list" sqref="F10:F20">
      <x:formula1>"Não iniciado,Em preenchimento,Concluído,N/A"</x:formula1>
    </x:dataValidation>
  </x:dataValidations>
  <x:pageMargins left="0.7" right="0.7" top="0.75" bottom="0.75" header="0.3" footer="0.3"/>
</x:worksheet>
</file>

<file path=xl/worksheets/sheet58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38" hidden="0" customWidth="1"/>
    <x:col min="3" max="3" width="28" hidden="0" customWidth="1"/>
    <x:col min="4" max="4" width="42" hidden="0" customWidth="1"/>
    <x:col min="5" max="5" width="18" hidden="0" customWidth="1"/>
    <x:col min="6" max="6" width="16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</x:cols>
  <x:sheetData>
    <x:row r="1">
      <x:c r="A1" s="4" t="str">
        <x:v>Prototipagem conceitual simples</x:v>
      </x:c>
      <x:c r="B1" s="4"/>
      <x:c r="C1" s="4"/>
      <x:c r="D1" s="4"/>
      <x:c r="E1" s="4"/>
      <x:c r="F1" s="4"/>
      <x:c r="G1" s="4"/>
      <x:c r="H1" s="4"/>
    </x:row>
    <x:row r="2">
      <x:c r="A2" s="11" t="str">
        <x:v>Ferramenta do ciclo de idealização até conceito aprovado. Preencha somente quando aplicável ao produto.</x:v>
      </x:c>
      <x:c r="B2" s="11"/>
      <x:c r="C2" s="11"/>
      <x:c r="D2" s="11"/>
      <x:c r="E2" s="11"/>
      <x:c r="F2" s="11"/>
      <x:c r="G2" s="11"/>
      <x:c r="H2" s="11"/>
    </x:row>
    <x:row r="3">
      <x:c r="A3" s="58" t="str">
        <x:v>Código</x:v>
      </x:c>
      <x:c r="B3" s="32" t="str">
        <x:v>G3_PROTO</x:v>
      </x:c>
      <x:c r="C3" s="32" t="str"/>
      <x:c r="D3" s="58" t="str">
        <x:v>Gate</x:v>
      </x:c>
      <x:c r="E3" s="32" t="str">
        <x:v>Gate 3 — Geração de Alternativas</x:v>
      </x:c>
      <x:c r="F3" s="32" t="str"/>
      <x:c r="G3" s="58" t="str">
        <x:v>Tipo</x:v>
      </x:c>
      <x:c r="H3" s="32" t="str">
        <x:v>Ideação</x:v>
      </x:c>
    </x:row>
    <x:row r="4">
      <x:c r="A4" s="58" t="str">
        <x:v>Propósito</x:v>
      </x:c>
      <x:c r="B4" s="32" t="str">
        <x:v>Tangibilizar sem fechar projeto</x:v>
      </x:c>
      <x:c r="C4" s="32" t="str"/>
      <x:c r="D4" s="58" t="str">
        <x:v>Quando usar</x:v>
      </x:c>
      <x:c r="E4" s="32" t="str">
        <x:v>Conforme pacote inteligente / Mapa_Selecao</x:v>
      </x:c>
      <x:c r="F4" s="32" t="str"/>
      <x:c r="G4" s="58" t="str">
        <x:v>Observações</x:v>
      </x:c>
      <x:c r="H4" s="32" t="str">
        <x:v>Não substitui projeto detalhado; registra hipóteses, alertas e incertezas.</x:v>
      </x:c>
    </x:row>
    <x:row r="5">
      <x:c r="A5" s="58" t="str">
        <x:v>Produto</x:v>
      </x:c>
      <x:c r="B5" s="32" t="str">
        <x:f>IF(Dashboard!B4="","",Dashboard!B4)</x:f>
      </x:c>
      <x:c r="C5" s="32" t="str"/>
      <x:c r="D5" s="58" t="str">
        <x:v>Responsável</x:v>
      </x:c>
      <x:c r="E5" s="32" t="str">
        <x:f>IF(Dashboard!B6="","",Dashboard!B6)</x:f>
      </x:c>
      <x:c r="F5" s="32" t="str"/>
      <x:c r="G5" s="58" t="str">
        <x:v>Status</x:v>
      </x:c>
      <x:c r="H5" s="32" t="str"/>
    </x:row>
    <x:row r="6">
      <x:c r="A6" s="61" t="e">
        <x:f>HYPERLINK("#'Dashboard'!A1","← Dashboard")</x:f>
      </x:c>
      <x:c r="B6" s="61" t="e">
        <x:f>HYPERLINK("#'Indice'!A1","Índice")</x:f>
      </x:c>
      <x:c r="C6" s="61" t="e">
        <x:f>HYPERLINK("#'Mapa_Selecao'!A1","Mapa de seleção")</x:f>
      </x:c>
    </x:row>
    <x:row r="8">
      <x:c r="A8" s="66" t="str">
        <x:v>Formulário de aplicação da ferramenta</x:v>
      </x:c>
      <x:c r="B8" s="66"/>
      <x:c r="C8" s="66"/>
      <x:c r="D8" s="66"/>
      <x:c r="E8" s="66"/>
      <x:c r="F8" s="66"/>
    </x:row>
    <x:row r="9">
      <x:c r="A9" s="20" t="str">
        <x:v>Item</x:v>
      </x:c>
      <x:c r="B9" s="20" t="str">
        <x:v>Pergunta / campo</x:v>
      </x:c>
      <x:c r="C9" s="20" t="str">
        <x:v>Resposta</x:v>
      </x:c>
      <x:c r="D9" s="20" t="str">
        <x:v>Evidência / observação</x:v>
      </x:c>
      <x:c r="E9" s="20" t="str">
        <x:v>Responsável</x:v>
      </x:c>
      <x:c r="F9" s="20" t="str">
        <x:v>Status</x:v>
      </x:c>
    </x:row>
    <x:row r="10">
      <x:c r="A10" s="32" t="str">
        <x:v>1</x:v>
      </x:c>
      <x:c r="B10" s="32" t="str">
        <x:v>Qual é o objetivo desta ferramenta para este produto?</x:v>
      </x:c>
      <x:c r="C10" s="32" t="str"/>
      <x:c r="D10" s="32" t="str"/>
      <x:c r="E10" s="32" t="str"/>
      <x:c r="F10" s="32" t="str"/>
    </x:row>
    <x:row r="11">
      <x:c r="A11" s="32" t="str">
        <x:v>2</x:v>
      </x:c>
      <x:c r="B11" s="32" t="str">
        <x:v>Quais informações já estão disponíveis?</x:v>
      </x:c>
      <x:c r="C11" s="32" t="str"/>
      <x:c r="D11" s="32" t="str"/>
      <x:c r="E11" s="32" t="str"/>
      <x:c r="F11" s="32" t="str"/>
    </x:row>
    <x:row r="12">
      <x:c r="A12" s="32" t="str">
        <x:v>3</x:v>
      </x:c>
      <x:c r="B12" s="32" t="str">
        <x:v>Quais informações ainda estão pendentes?</x:v>
      </x:c>
      <x:c r="C12" s="32" t="str"/>
      <x:c r="D12" s="32" t="str"/>
      <x:c r="E12" s="32" t="str"/>
      <x:c r="F12" s="32" t="str"/>
    </x:row>
    <x:row r="13">
      <x:c r="A13" s="32" t="str">
        <x:v>4</x:v>
      </x:c>
      <x:c r="B13" s="32" t="str">
        <x:v>Quais achados impactam o conceito?</x:v>
      </x:c>
      <x:c r="C13" s="32" t="str"/>
      <x:c r="D13" s="32" t="str"/>
      <x:c r="E13" s="32" t="str"/>
      <x:c r="F13" s="32" t="str"/>
    </x:row>
    <x:row r="14">
      <x:c r="A14" s="32" t="str">
        <x:v>5</x:v>
      </x:c>
      <x:c r="B14" s="32" t="str">
        <x:v>Quais incertezas devem seguir para o próximo Gate?</x:v>
      </x:c>
      <x:c r="C14" s="32" t="str"/>
      <x:c r="D14" s="32" t="str"/>
      <x:c r="E14" s="32" t="str"/>
      <x:c r="F14" s="32" t="str"/>
    </x:row>
    <x:row r="15">
      <x:c r="A15" s="32"/>
      <x:c r="B15" s="32"/>
      <x:c r="C15" s="32"/>
      <x:c r="D15" s="32"/>
      <x:c r="E15" s="32"/>
      <x:c r="F15" s="32"/>
    </x:row>
    <x:row r="16">
      <x:c r="A16" s="32"/>
      <x:c r="B16" s="32"/>
      <x:c r="C16" s="32"/>
      <x:c r="D16" s="32"/>
      <x:c r="E16" s="32"/>
      <x:c r="F16" s="32"/>
    </x:row>
    <x:row r="17">
      <x:c r="A17" s="32"/>
      <x:c r="B17" s="32"/>
      <x:c r="C17" s="32"/>
      <x:c r="D17" s="32"/>
      <x:c r="E17" s="32"/>
      <x:c r="F17" s="32"/>
    </x:row>
    <x:row r="18">
      <x:c r="A18" s="32"/>
      <x:c r="B18" s="32"/>
      <x:c r="C18" s="32"/>
      <x:c r="D18" s="32"/>
      <x:c r="E18" s="32"/>
      <x:c r="F18" s="32"/>
    </x:row>
    <x:row r="19">
      <x:c r="A19" s="32"/>
      <x:c r="B19" s="32"/>
      <x:c r="C19" s="32"/>
      <x:c r="D19" s="32"/>
      <x:c r="E19" s="32"/>
      <x:c r="F19" s="32"/>
    </x:row>
    <x:row r="20">
      <x:c r="A20" s="32"/>
      <x:c r="B20" s="32"/>
      <x:c r="C20" s="32"/>
      <x:c r="D20" s="32"/>
      <x:c r="E20" s="32"/>
      <x:c r="F20" s="32"/>
    </x:row>
  </x:sheetData>
  <x:mergeCells>
    <x:mergeCell ref="A1:H1"/>
    <x:mergeCell ref="A2:H2"/>
    <x:mergeCell ref="A8:F8"/>
  </x:mergeCells>
  <x:dataValidations count="2">
    <x:dataValidation type="list" sqref="H5">
      <x:formula1>"Não iniciado,Em preenchimento,Em revisão,Concluído"</x:formula1>
    </x:dataValidation>
    <x:dataValidation type="list" sqref="F10:F20">
      <x:formula1>"Não iniciado,Em preenchimento,Concluído,N/A"</x:formula1>
    </x:dataValidation>
  </x:dataValidations>
  <x:pageMargins left="0.7" right="0.7" top="0.75" bottom="0.75" header="0.3" footer="0.3"/>
</x:worksheet>
</file>

<file path=xl/worksheets/sheet59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38" hidden="0" customWidth="1"/>
    <x:col min="3" max="3" width="28" hidden="0" customWidth="1"/>
    <x:col min="4" max="4" width="42" hidden="0" customWidth="1"/>
    <x:col min="5" max="5" width="18" hidden="0" customWidth="1"/>
    <x:col min="6" max="6" width="16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</x:cols>
  <x:sheetData>
    <x:row r="1">
      <x:c r="A1" s="4" t="str">
        <x:v>Prova de princípio simples</x:v>
      </x:c>
      <x:c r="B1" s="4"/>
      <x:c r="C1" s="4"/>
      <x:c r="D1" s="4"/>
      <x:c r="E1" s="4"/>
      <x:c r="F1" s="4"/>
      <x:c r="G1" s="4"/>
      <x:c r="H1" s="4"/>
    </x:row>
    <x:row r="2">
      <x:c r="A2" s="11" t="str">
        <x:v>Ferramenta do ciclo de idealização até conceito aprovado. Preencha somente quando aplicável ao produto.</x:v>
      </x:c>
      <x:c r="B2" s="11"/>
      <x:c r="C2" s="11"/>
      <x:c r="D2" s="11"/>
      <x:c r="E2" s="11"/>
      <x:c r="F2" s="11"/>
      <x:c r="G2" s="11"/>
      <x:c r="H2" s="11"/>
    </x:row>
    <x:row r="3">
      <x:c r="A3" s="58" t="str">
        <x:v>Código</x:v>
      </x:c>
      <x:c r="B3" s="32" t="str">
        <x:v>G3_PROVA</x:v>
      </x:c>
      <x:c r="C3" s="32" t="str"/>
      <x:c r="D3" s="58" t="str">
        <x:v>Gate</x:v>
      </x:c>
      <x:c r="E3" s="32" t="str">
        <x:v>Gate 3 — Geração de Alternativas</x:v>
      </x:c>
      <x:c r="F3" s="32" t="str"/>
      <x:c r="G3" s="58" t="str">
        <x:v>Tipo</x:v>
      </x:c>
      <x:c r="H3" s="32" t="str">
        <x:v>Ideação</x:v>
      </x:c>
    </x:row>
    <x:row r="4">
      <x:c r="A4" s="58" t="str">
        <x:v>Propósito</x:v>
      </x:c>
      <x:c r="B4" s="32" t="str">
        <x:v>Testar possibilidade básica</x:v>
      </x:c>
      <x:c r="C4" s="32" t="str"/>
      <x:c r="D4" s="58" t="str">
        <x:v>Quando usar</x:v>
      </x:c>
      <x:c r="E4" s="32" t="str">
        <x:v>Conforme pacote inteligente / Mapa_Selecao</x:v>
      </x:c>
      <x:c r="F4" s="32" t="str"/>
      <x:c r="G4" s="58" t="str">
        <x:v>Observações</x:v>
      </x:c>
      <x:c r="H4" s="32" t="str">
        <x:v>Não substitui projeto detalhado; registra hipóteses, alertas e incertezas.</x:v>
      </x:c>
    </x:row>
    <x:row r="5">
      <x:c r="A5" s="58" t="str">
        <x:v>Produto</x:v>
      </x:c>
      <x:c r="B5" s="32" t="str">
        <x:f>IF(Dashboard!B4="","",Dashboard!B4)</x:f>
      </x:c>
      <x:c r="C5" s="32" t="str"/>
      <x:c r="D5" s="58" t="str">
        <x:v>Responsável</x:v>
      </x:c>
      <x:c r="E5" s="32" t="str">
        <x:f>IF(Dashboard!B6="","",Dashboard!B6)</x:f>
      </x:c>
      <x:c r="F5" s="32" t="str"/>
      <x:c r="G5" s="58" t="str">
        <x:v>Status</x:v>
      </x:c>
      <x:c r="H5" s="32" t="str"/>
    </x:row>
    <x:row r="6">
      <x:c r="A6" s="61" t="e">
        <x:f>HYPERLINK("#'Dashboard'!A1","← Dashboard")</x:f>
      </x:c>
      <x:c r="B6" s="61" t="e">
        <x:f>HYPERLINK("#'Indice'!A1","Índice")</x:f>
      </x:c>
      <x:c r="C6" s="61" t="e">
        <x:f>HYPERLINK("#'Mapa_Selecao'!A1","Mapa de seleção")</x:f>
      </x:c>
    </x:row>
    <x:row r="8">
      <x:c r="A8" s="66" t="str">
        <x:v>Formulário de aplicação da ferramenta</x:v>
      </x:c>
      <x:c r="B8" s="66"/>
      <x:c r="C8" s="66"/>
      <x:c r="D8" s="66"/>
      <x:c r="E8" s="66"/>
      <x:c r="F8" s="66"/>
    </x:row>
    <x:row r="9">
      <x:c r="A9" s="20" t="str">
        <x:v>Item</x:v>
      </x:c>
      <x:c r="B9" s="20" t="str">
        <x:v>Pergunta / campo</x:v>
      </x:c>
      <x:c r="C9" s="20" t="str">
        <x:v>Resposta</x:v>
      </x:c>
      <x:c r="D9" s="20" t="str">
        <x:v>Evidência / observação</x:v>
      </x:c>
      <x:c r="E9" s="20" t="str">
        <x:v>Responsável</x:v>
      </x:c>
      <x:c r="F9" s="20" t="str">
        <x:v>Status</x:v>
      </x:c>
    </x:row>
    <x:row r="10">
      <x:c r="A10" s="32" t="str">
        <x:v>1</x:v>
      </x:c>
      <x:c r="B10" s="32" t="str">
        <x:v>Qual é o objetivo desta ferramenta para este produto?</x:v>
      </x:c>
      <x:c r="C10" s="32" t="str"/>
      <x:c r="D10" s="32" t="str"/>
      <x:c r="E10" s="32" t="str"/>
      <x:c r="F10" s="32" t="str"/>
    </x:row>
    <x:row r="11">
      <x:c r="A11" s="32" t="str">
        <x:v>2</x:v>
      </x:c>
      <x:c r="B11" s="32" t="str">
        <x:v>Quais informações já estão disponíveis?</x:v>
      </x:c>
      <x:c r="C11" s="32" t="str"/>
      <x:c r="D11" s="32" t="str"/>
      <x:c r="E11" s="32" t="str"/>
      <x:c r="F11" s="32" t="str"/>
    </x:row>
    <x:row r="12">
      <x:c r="A12" s="32" t="str">
        <x:v>3</x:v>
      </x:c>
      <x:c r="B12" s="32" t="str">
        <x:v>Quais informações ainda estão pendentes?</x:v>
      </x:c>
      <x:c r="C12" s="32" t="str"/>
      <x:c r="D12" s="32" t="str"/>
      <x:c r="E12" s="32" t="str"/>
      <x:c r="F12" s="32" t="str"/>
    </x:row>
    <x:row r="13">
      <x:c r="A13" s="32" t="str">
        <x:v>4</x:v>
      </x:c>
      <x:c r="B13" s="32" t="str">
        <x:v>Quais achados impactam o conceito?</x:v>
      </x:c>
      <x:c r="C13" s="32" t="str"/>
      <x:c r="D13" s="32" t="str"/>
      <x:c r="E13" s="32" t="str"/>
      <x:c r="F13" s="32" t="str"/>
    </x:row>
    <x:row r="14">
      <x:c r="A14" s="32" t="str">
        <x:v>5</x:v>
      </x:c>
      <x:c r="B14" s="32" t="str">
        <x:v>Quais incertezas devem seguir para o próximo Gate?</x:v>
      </x:c>
      <x:c r="C14" s="32" t="str"/>
      <x:c r="D14" s="32" t="str"/>
      <x:c r="E14" s="32" t="str"/>
      <x:c r="F14" s="32" t="str"/>
    </x:row>
    <x:row r="15">
      <x:c r="A15" s="32"/>
      <x:c r="B15" s="32"/>
      <x:c r="C15" s="32"/>
      <x:c r="D15" s="32"/>
      <x:c r="E15" s="32"/>
      <x:c r="F15" s="32"/>
    </x:row>
    <x:row r="16">
      <x:c r="A16" s="32"/>
      <x:c r="B16" s="32"/>
      <x:c r="C16" s="32"/>
      <x:c r="D16" s="32"/>
      <x:c r="E16" s="32"/>
      <x:c r="F16" s="32"/>
    </x:row>
    <x:row r="17">
      <x:c r="A17" s="32"/>
      <x:c r="B17" s="32"/>
      <x:c r="C17" s="32"/>
      <x:c r="D17" s="32"/>
      <x:c r="E17" s="32"/>
      <x:c r="F17" s="32"/>
    </x:row>
    <x:row r="18">
      <x:c r="A18" s="32"/>
      <x:c r="B18" s="32"/>
      <x:c r="C18" s="32"/>
      <x:c r="D18" s="32"/>
      <x:c r="E18" s="32"/>
      <x:c r="F18" s="32"/>
    </x:row>
    <x:row r="19">
      <x:c r="A19" s="32"/>
      <x:c r="B19" s="32"/>
      <x:c r="C19" s="32"/>
      <x:c r="D19" s="32"/>
      <x:c r="E19" s="32"/>
      <x:c r="F19" s="32"/>
    </x:row>
    <x:row r="20">
      <x:c r="A20" s="32"/>
      <x:c r="B20" s="32"/>
      <x:c r="C20" s="32"/>
      <x:c r="D20" s="32"/>
      <x:c r="E20" s="32"/>
      <x:c r="F20" s="32"/>
    </x:row>
  </x:sheetData>
  <x:mergeCells>
    <x:mergeCell ref="A1:H1"/>
    <x:mergeCell ref="A2:H2"/>
    <x:mergeCell ref="A8:F8"/>
  </x:mergeCells>
  <x:dataValidations count="2">
    <x:dataValidation type="list" sqref="H5">
      <x:formula1>"Não iniciado,Em preenchimento,Em revisão,Concluído"</x:formula1>
    </x:dataValidation>
    <x:dataValidation type="list" sqref="F10:F20">
      <x:formula1>"Não iniciado,Em preenchimento,Concluído,N/A"</x:formula1>
    </x:dataValidation>
  </x:dataValidations>
  <x:pageMargins left="0.7" right="0.7" top="0.75" bottom="0.75" header="0.3" footer="0.3"/>
</x:worksheet>
</file>

<file path=xl/worksheets/sheet60.xml><?xml version="1.0" encoding="utf-8"?>
<x:worksheet xmlns:x="http://schemas.openxmlformats.org/spreadsheetml/2006/main">
  <x:sheetFormatPr defaultRowHeight="15"/>
  <x:cols>
    <x:col min="1" max="1" width="48" hidden="0" customWidth="1"/>
    <x:col min="2" max="2" width="16" hidden="0" customWidth="1"/>
    <x:col min="3" max="3" width="10" hidden="0" customWidth="1"/>
    <x:col min="4" max="4" width="14" hidden="0" customWidth="1"/>
    <x:col min="5" max="5" width="56" hidden="0" customWidth="1"/>
    <x:col min="6" max="6" width="22" hidden="0" customWidth="1"/>
    <x:col min="7" max="7" width="22" hidden="0" customWidth="1"/>
    <x:col min="8" max="8" width="22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</x:cols>
  <x:sheetData>
    <x:row r="1">
      <x:c r="A1" s="4" t="str">
        <x:v>Matriz Go/No-Go — Gate 3</x:v>
      </x:c>
      <x:c r="B1" s="4"/>
      <x:c r="C1" s="4"/>
      <x:c r="D1" s="4"/>
      <x:c r="E1" s="4"/>
      <x:c r="F1" s="4"/>
      <x:c r="G1" s="4"/>
      <x:c r="H1" s="4"/>
    </x:row>
    <x:row r="2">
      <x:c r="A2" s="11" t="str">
        <x:v>Ferramenta do ciclo de idealização até conceito aprovado. Preencha somente quando aplicável ao produto.</x:v>
      </x:c>
      <x:c r="B2" s="11"/>
      <x:c r="C2" s="11"/>
      <x:c r="D2" s="11"/>
      <x:c r="E2" s="11"/>
      <x:c r="F2" s="11"/>
      <x:c r="G2" s="11"/>
      <x:c r="H2" s="11"/>
    </x:row>
    <x:row r="3">
      <x:c r="A3" s="58" t="str">
        <x:v>Código</x:v>
      </x:c>
      <x:c r="B3" s="32" t="str">
        <x:v>G3_GONOGO</x:v>
      </x:c>
      <x:c r="C3" s="32" t="str"/>
      <x:c r="D3" s="58" t="str">
        <x:v>Gate</x:v>
      </x:c>
      <x:c r="E3" s="32" t="str">
        <x:v>Gate 3 — Geração de Alternativas</x:v>
      </x:c>
      <x:c r="F3" s="32" t="str"/>
      <x:c r="G3" s="58" t="str">
        <x:v>Tipo</x:v>
      </x:c>
      <x:c r="H3" s="32" t="str">
        <x:v>Decisão</x:v>
      </x:c>
    </x:row>
    <x:row r="4">
      <x:c r="A4" s="58" t="str">
        <x:v>Propósito</x:v>
      </x:c>
      <x:c r="B4" s="32" t="str">
        <x:v>Decidir se há alternativas suficientes</x:v>
      </x:c>
      <x:c r="C4" s="32" t="str"/>
      <x:c r="D4" s="58" t="str">
        <x:v>Quando usar</x:v>
      </x:c>
      <x:c r="E4" s="32" t="str">
        <x:v>Conforme pacote inteligente / Mapa_Selecao</x:v>
      </x:c>
      <x:c r="F4" s="32" t="str"/>
      <x:c r="G4" s="58" t="str">
        <x:v>Observações</x:v>
      </x:c>
      <x:c r="H4" s="32" t="str">
        <x:v>Não substitui projeto detalhado; registra hipóteses, alertas e incertezas.</x:v>
      </x:c>
    </x:row>
    <x:row r="5">
      <x:c r="A5" s="58" t="str">
        <x:v>Produto</x:v>
      </x:c>
      <x:c r="B5" s="32" t="str">
        <x:f>IF(Dashboard!B4="","",Dashboard!B4)</x:f>
      </x:c>
      <x:c r="C5" s="32" t="str"/>
      <x:c r="D5" s="58" t="str">
        <x:v>Responsável</x:v>
      </x:c>
      <x:c r="E5" s="32" t="str">
        <x:f>IF(Dashboard!B6="","",Dashboard!B6)</x:f>
      </x:c>
      <x:c r="F5" s="32" t="str"/>
      <x:c r="G5" s="58" t="str">
        <x:v>Status</x:v>
      </x:c>
      <x:c r="H5" s="32" t="str"/>
    </x:row>
    <x:row r="6">
      <x:c r="A6" s="61" t="e">
        <x:f>HYPERLINK("#'Dashboard'!A1","← Dashboard")</x:f>
      </x:c>
      <x:c r="B6" s="61" t="e">
        <x:f>HYPERLINK("#'Indice'!A1","Índice")</x:f>
      </x:c>
      <x:c r="C6" s="61" t="e">
        <x:f>HYPERLINK("#'Mapa_Selecao'!A1","Mapa de seleção")</x:f>
      </x:c>
    </x:row>
    <x:row r="8">
      <x:c r="A8" s="66" t="str">
        <x:v>Matriz Go/No-Go — Gate 3</x:v>
      </x:c>
      <x:c r="B8" s="66" t="str"/>
      <x:c r="C8" s="66" t="str"/>
      <x:c r="D8" s="66" t="str"/>
      <x:c r="E8" s="66" t="str"/>
    </x:row>
    <x:row r="9">
      <x:c r="A9" s="20" t="str">
        <x:v>Critério</x:v>
      </x:c>
      <x:c r="B9" s="20" t="str">
        <x:v>Resposta</x:v>
      </x:c>
      <x:c r="C9" s="20" t="str">
        <x:v>Peso</x:v>
      </x:c>
      <x:c r="D9" s="20" t="str">
        <x:v>Pontuação</x:v>
      </x:c>
      <x:c r="E9" s="20" t="str">
        <x:v>Evidência / observação</x:v>
      </x:c>
    </x:row>
    <x:row r="10">
      <x:c r="A10" t="str">
        <x:v>Alternativas suficientes geradas</x:v>
      </x:c>
      <x:c r="B10" t="str"/>
      <x:c r="C10" t="n">
        <x:v>1</x:v>
      </x:c>
      <x:c r="D10" t="n">
        <x:f>IF(B10="Sim",1,IF(B10="Parcial",0.5,IF(B10="Não",0,"")))*C10</x:f>
        <x:v>0</x:v>
      </x:c>
      <x:c r="E10" t="str"/>
    </x:row>
    <x:row r="11">
      <x:c r="A11" t="str">
        <x:v>Alternativas atendem à necessidade principal</x:v>
      </x:c>
      <x:c r="B11" t="str"/>
      <x:c r="C11" t="n">
        <x:v>1</x:v>
      </x:c>
      <x:c r="D11" t="n">
        <x:f>IF(B11="Sim",1,IF(B11="Parcial",0.5,IF(B11="Não",0,"")))*C11</x:f>
        <x:v>0</x:v>
      </x:c>
      <x:c r="E11" t="str"/>
    </x:row>
    <x:row r="12">
      <x:c r="A12" t="str">
        <x:v>Soluções internas e externas consideradas</x:v>
      </x:c>
      <x:c r="B12" t="str"/>
      <x:c r="C12" t="n">
        <x:v>1</x:v>
      </x:c>
      <x:c r="D12" t="n">
        <x:f>IF(B12="Sim",1,IF(B12="Parcial",0.5,IF(B12="Não",0,"")))*C12</x:f>
        <x:v>0</x:v>
      </x:c>
      <x:c r="E12" t="str"/>
    </x:row>
    <x:row r="13">
      <x:c r="A13" t="str">
        <x:v>Funções/subfunções mapeadas</x:v>
      </x:c>
      <x:c r="B13" t="str"/>
      <x:c r="C13" t="n">
        <x:v>1</x:v>
      </x:c>
      <x:c r="D13" t="n">
        <x:f>IF(B13="Sim",1,IF(B13="Parcial",0.5,IF(B13="Não",0,"")))*C13</x:f>
        <x:v>0</x:v>
      </x:c>
      <x:c r="E13" t="str"/>
    </x:row>
    <x:row r="14">
      <x:c r="A14" t="str">
        <x:v>Alternativas compreensíveis</x:v>
      </x:c>
      <x:c r="B14" t="str"/>
      <x:c r="C14" t="n">
        <x:v>1</x:v>
      </x:c>
      <x:c r="D14" t="n">
        <x:f>IF(B14="Sim",1,IF(B14="Parcial",0.5,IF(B14="Não",0,"")))*C14</x:f>
        <x:v>0</x:v>
      </x:c>
      <x:c r="E14" t="str"/>
    </x:row>
    <x:row r="15">
      <x:c r="A15" t="str">
        <x:v>Há conceitos promissores</x:v>
      </x:c>
      <x:c r="B15" t="str"/>
      <x:c r="C15" t="n">
        <x:v>1</x:v>
      </x:c>
      <x:c r="D15" t="n">
        <x:f>IF(B15="Sim",1,IF(B15="Parcial",0.5,IF(B15="Não",0,"")))*C15</x:f>
        <x:v>0</x:v>
      </x:c>
      <x:c r="E15" t="str"/>
    </x:row>
    <x:row r="16">
      <x:c r="A16" t="str">
        <x:v>Próxima etapa clara</x:v>
      </x:c>
      <x:c r="B16" t="str"/>
      <x:c r="C16" t="n">
        <x:v>1</x:v>
      </x:c>
      <x:c r="D16" t="n">
        <x:f>IF(B16="Sim",1,IF(B16="Parcial",0.5,IF(B16="Não",0,"")))*C16</x:f>
        <x:v>0</x:v>
      </x:c>
      <x:c r="E16" t="str"/>
    </x:row>
    <x:row r="18">
      <x:c r="A18" s="71" t="str">
        <x:v>Resultado ponderado</x:v>
      </x:c>
      <x:c r="B18" s="71" t="str"/>
      <x:c r="C18" s="71" t="str"/>
      <x:c r="D18" s="74" t="n">
        <x:f>IFERROR(SUM(D10:D16)/SUM(C10:C16),0)</x:f>
        <x:v>0</x:v>
      </x:c>
      <x:c r="E18" s="71" t="str"/>
    </x:row>
    <x:row r="19">
      <x:c r="A19" s="71" t="str">
        <x:v>Decisão sugerida</x:v>
      </x:c>
      <x:c r="B19" s="71" t="str"/>
      <x:c r="C19" s="71" t="str"/>
      <x:c r="D19" s="71" t="str">
        <x:f>IF(D18&gt;=0.75,"Go",IF(D18&gt;=0.55,"Revisar",IF(D18&gt;=0.4,"Pausar","No-Go")))</x:f>
        <x:v>No-Go</x:v>
      </x:c>
      <x:c r="E19" s="71" t="str"/>
    </x:row>
  </x:sheetData>
  <x:mergeCells>
    <x:mergeCell ref="A1:H1"/>
    <x:mergeCell ref="A2:H2"/>
    <x:mergeCell ref="A8:E8"/>
  </x:mergeCells>
  <x:dataValidations count="2">
    <x:dataValidation type="list" sqref="H5">
      <x:formula1>"Não iniciado,Em preenchimento,Em revisão,Concluído"</x:formula1>
    </x:dataValidation>
    <x:dataValidation type="list" sqref="B10:B16">
      <x:formula1>"Sim,Parcial,Não,N/A"</x:formula1>
    </x:dataValidation>
  </x:dataValidations>
  <x:pageMargins left="0.7" right="0.7" top="0.75" bottom="0.75" header="0.3" footer="0.3"/>
</x:worksheet>
</file>

<file path=xl/worksheets/sheet61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38" hidden="0" customWidth="1"/>
    <x:col min="3" max="3" width="28" hidden="0" customWidth="1"/>
    <x:col min="4" max="4" width="42" hidden="0" customWidth="1"/>
    <x:col min="5" max="5" width="18" hidden="0" customWidth="1"/>
    <x:col min="6" max="6" width="16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</x:cols>
  <x:sheetData>
    <x:row r="1">
      <x:c r="A1" s="4" t="str">
        <x:v>Critérios de seleção do conceito</x:v>
      </x:c>
      <x:c r="B1" s="4"/>
      <x:c r="C1" s="4"/>
      <x:c r="D1" s="4"/>
      <x:c r="E1" s="4"/>
      <x:c r="F1" s="4"/>
      <x:c r="G1" s="4"/>
      <x:c r="H1" s="4"/>
    </x:row>
    <x:row r="2">
      <x:c r="A2" s="11" t="str">
        <x:v>Ferramenta do ciclo de idealização até conceito aprovado. Preencha somente quando aplicável ao produto.</x:v>
      </x:c>
      <x:c r="B2" s="11"/>
      <x:c r="C2" s="11"/>
      <x:c r="D2" s="11"/>
      <x:c r="E2" s="11"/>
      <x:c r="F2" s="11"/>
      <x:c r="G2" s="11"/>
      <x:c r="H2" s="11"/>
    </x:row>
    <x:row r="3">
      <x:c r="A3" s="58" t="str">
        <x:v>Código</x:v>
      </x:c>
      <x:c r="B3" s="32" t="str">
        <x:v>G4_CRIT</x:v>
      </x:c>
      <x:c r="C3" s="32" t="str"/>
      <x:c r="D3" s="58" t="str">
        <x:v>Gate</x:v>
      </x:c>
      <x:c r="E3" s="32" t="str">
        <x:v>Gate 4 — Seleção e Teste</x:v>
      </x:c>
      <x:c r="F3" s="32" t="str"/>
      <x:c r="G3" s="58" t="str">
        <x:v>Tipo</x:v>
      </x:c>
      <x:c r="H3" s="32" t="str">
        <x:v>Seleção</x:v>
      </x:c>
    </x:row>
    <x:row r="4">
      <x:c r="A4" s="58" t="str">
        <x:v>Propósito</x:v>
      </x:c>
      <x:c r="B4" s="32" t="str">
        <x:v>Definir critérios antes de pontuar</x:v>
      </x:c>
      <x:c r="C4" s="32" t="str"/>
      <x:c r="D4" s="58" t="str">
        <x:v>Quando usar</x:v>
      </x:c>
      <x:c r="E4" s="32" t="str">
        <x:v>Conforme pacote inteligente / Mapa_Selecao</x:v>
      </x:c>
      <x:c r="F4" s="32" t="str"/>
      <x:c r="G4" s="58" t="str">
        <x:v>Observações</x:v>
      </x:c>
      <x:c r="H4" s="32" t="str">
        <x:v>Não substitui projeto detalhado; registra hipóteses, alertas e incertezas.</x:v>
      </x:c>
    </x:row>
    <x:row r="5">
      <x:c r="A5" s="58" t="str">
        <x:v>Produto</x:v>
      </x:c>
      <x:c r="B5" s="32" t="str">
        <x:f>IF(Dashboard!B4="","",Dashboard!B4)</x:f>
      </x:c>
      <x:c r="C5" s="32" t="str"/>
      <x:c r="D5" s="58" t="str">
        <x:v>Responsável</x:v>
      </x:c>
      <x:c r="E5" s="32" t="str">
        <x:f>IF(Dashboard!B6="","",Dashboard!B6)</x:f>
      </x:c>
      <x:c r="F5" s="32" t="str"/>
      <x:c r="G5" s="58" t="str">
        <x:v>Status</x:v>
      </x:c>
      <x:c r="H5" s="32" t="str"/>
    </x:row>
    <x:row r="6">
      <x:c r="A6" s="61" t="e">
        <x:f>HYPERLINK("#'Dashboard'!A1","← Dashboard")</x:f>
      </x:c>
      <x:c r="B6" s="61" t="e">
        <x:f>HYPERLINK("#'Indice'!A1","Índice")</x:f>
      </x:c>
      <x:c r="C6" s="61" t="e">
        <x:f>HYPERLINK("#'Mapa_Selecao'!A1","Mapa de seleção")</x:f>
      </x:c>
    </x:row>
    <x:row r="8">
      <x:c r="A8" s="66" t="str">
        <x:v>Formulário de aplicação da ferramenta</x:v>
      </x:c>
      <x:c r="B8" s="66"/>
      <x:c r="C8" s="66"/>
      <x:c r="D8" s="66"/>
      <x:c r="E8" s="66"/>
      <x:c r="F8" s="66"/>
    </x:row>
    <x:row r="9">
      <x:c r="A9" s="20" t="str">
        <x:v>Item</x:v>
      </x:c>
      <x:c r="B9" s="20" t="str">
        <x:v>Pergunta / campo</x:v>
      </x:c>
      <x:c r="C9" s="20" t="str">
        <x:v>Resposta</x:v>
      </x:c>
      <x:c r="D9" s="20" t="str">
        <x:v>Evidência / observação</x:v>
      </x:c>
      <x:c r="E9" s="20" t="str">
        <x:v>Responsável</x:v>
      </x:c>
      <x:c r="F9" s="20" t="str">
        <x:v>Status</x:v>
      </x:c>
    </x:row>
    <x:row r="10">
      <x:c r="A10" s="32" t="str">
        <x:v>1</x:v>
      </x:c>
      <x:c r="B10" s="32" t="str">
        <x:v>Qual é o objetivo desta ferramenta para este produto?</x:v>
      </x:c>
      <x:c r="C10" s="32" t="str"/>
      <x:c r="D10" s="32" t="str"/>
      <x:c r="E10" s="32" t="str"/>
      <x:c r="F10" s="32" t="str"/>
    </x:row>
    <x:row r="11">
      <x:c r="A11" s="32" t="str">
        <x:v>2</x:v>
      </x:c>
      <x:c r="B11" s="32" t="str">
        <x:v>Quais informações já estão disponíveis?</x:v>
      </x:c>
      <x:c r="C11" s="32" t="str"/>
      <x:c r="D11" s="32" t="str"/>
      <x:c r="E11" s="32" t="str"/>
      <x:c r="F11" s="32" t="str"/>
    </x:row>
    <x:row r="12">
      <x:c r="A12" s="32" t="str">
        <x:v>3</x:v>
      </x:c>
      <x:c r="B12" s="32" t="str">
        <x:v>Quais informações ainda estão pendentes?</x:v>
      </x:c>
      <x:c r="C12" s="32" t="str"/>
      <x:c r="D12" s="32" t="str"/>
      <x:c r="E12" s="32" t="str"/>
      <x:c r="F12" s="32" t="str"/>
    </x:row>
    <x:row r="13">
      <x:c r="A13" s="32" t="str">
        <x:v>4</x:v>
      </x:c>
      <x:c r="B13" s="32" t="str">
        <x:v>Quais achados impactam o conceito?</x:v>
      </x:c>
      <x:c r="C13" s="32" t="str"/>
      <x:c r="D13" s="32" t="str"/>
      <x:c r="E13" s="32" t="str"/>
      <x:c r="F13" s="32" t="str"/>
    </x:row>
    <x:row r="14">
      <x:c r="A14" s="32" t="str">
        <x:v>5</x:v>
      </x:c>
      <x:c r="B14" s="32" t="str">
        <x:v>Quais incertezas devem seguir para o próximo Gate?</x:v>
      </x:c>
      <x:c r="C14" s="32" t="str"/>
      <x:c r="D14" s="32" t="str"/>
      <x:c r="E14" s="32" t="str"/>
      <x:c r="F14" s="32" t="str"/>
    </x:row>
    <x:row r="15">
      <x:c r="A15" s="32"/>
      <x:c r="B15" s="32"/>
      <x:c r="C15" s="32"/>
      <x:c r="D15" s="32"/>
      <x:c r="E15" s="32"/>
      <x:c r="F15" s="32"/>
    </x:row>
    <x:row r="16">
      <x:c r="A16" s="32"/>
      <x:c r="B16" s="32"/>
      <x:c r="C16" s="32"/>
      <x:c r="D16" s="32"/>
      <x:c r="E16" s="32"/>
      <x:c r="F16" s="32"/>
    </x:row>
    <x:row r="17">
      <x:c r="A17" s="32"/>
      <x:c r="B17" s="32"/>
      <x:c r="C17" s="32"/>
      <x:c r="D17" s="32"/>
      <x:c r="E17" s="32"/>
      <x:c r="F17" s="32"/>
    </x:row>
    <x:row r="18">
      <x:c r="A18" s="32"/>
      <x:c r="B18" s="32"/>
      <x:c r="C18" s="32"/>
      <x:c r="D18" s="32"/>
      <x:c r="E18" s="32"/>
      <x:c r="F18" s="32"/>
    </x:row>
    <x:row r="19">
      <x:c r="A19" s="32"/>
      <x:c r="B19" s="32"/>
      <x:c r="C19" s="32"/>
      <x:c r="D19" s="32"/>
      <x:c r="E19" s="32"/>
      <x:c r="F19" s="32"/>
    </x:row>
    <x:row r="20">
      <x:c r="A20" s="32"/>
      <x:c r="B20" s="32"/>
      <x:c r="C20" s="32"/>
      <x:c r="D20" s="32"/>
      <x:c r="E20" s="32"/>
      <x:c r="F20" s="32"/>
    </x:row>
  </x:sheetData>
  <x:mergeCells>
    <x:mergeCell ref="A1:H1"/>
    <x:mergeCell ref="A2:H2"/>
    <x:mergeCell ref="A8:F8"/>
  </x:mergeCells>
  <x:dataValidations count="2">
    <x:dataValidation type="list" sqref="H5">
      <x:formula1>"Não iniciado,Em preenchimento,Em revisão,Concluído"</x:formula1>
    </x:dataValidation>
    <x:dataValidation type="list" sqref="F10:F20">
      <x:formula1>"Não iniciado,Em preenchimento,Concluído,N/A"</x:formula1>
    </x:dataValidation>
  </x:dataValidations>
  <x:pageMargins left="0.7" right="0.7" top="0.75" bottom="0.75" header="0.3" footer="0.3"/>
</x:worksheet>
</file>

<file path=xl/worksheets/sheet62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38" hidden="0" customWidth="1"/>
    <x:col min="3" max="3" width="28" hidden="0" customWidth="1"/>
    <x:col min="4" max="4" width="42" hidden="0" customWidth="1"/>
    <x:col min="5" max="5" width="18" hidden="0" customWidth="1"/>
    <x:col min="6" max="6" width="16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</x:cols>
  <x:sheetData>
    <x:row r="1">
      <x:c r="A1" s="4" t="str">
        <x:v>Conceito de referência</x:v>
      </x:c>
      <x:c r="B1" s="4"/>
      <x:c r="C1" s="4"/>
      <x:c r="D1" s="4"/>
      <x:c r="E1" s="4"/>
      <x:c r="F1" s="4"/>
      <x:c r="G1" s="4"/>
      <x:c r="H1" s="4"/>
    </x:row>
    <x:row r="2">
      <x:c r="A2" s="11" t="str">
        <x:v>Ferramenta do ciclo de idealização até conceito aprovado. Preencha somente quando aplicável ao produto.</x:v>
      </x:c>
      <x:c r="B2" s="11"/>
      <x:c r="C2" s="11"/>
      <x:c r="D2" s="11"/>
      <x:c r="E2" s="11"/>
      <x:c r="F2" s="11"/>
      <x:c r="G2" s="11"/>
      <x:c r="H2" s="11"/>
    </x:row>
    <x:row r="3">
      <x:c r="A3" s="58" t="str">
        <x:v>Código</x:v>
      </x:c>
      <x:c r="B3" s="32" t="str">
        <x:v>G4_REF</x:v>
      </x:c>
      <x:c r="C3" s="32" t="str"/>
      <x:c r="D3" s="58" t="str">
        <x:v>Gate</x:v>
      </x:c>
      <x:c r="E3" s="32" t="str">
        <x:v>Gate 4 — Seleção e Teste</x:v>
      </x:c>
      <x:c r="F3" s="32" t="str"/>
      <x:c r="G3" s="58" t="str">
        <x:v>Tipo</x:v>
      </x:c>
      <x:c r="H3" s="32" t="str">
        <x:v>Seleção</x:v>
      </x:c>
    </x:row>
    <x:row r="4">
      <x:c r="A4" s="58" t="str">
        <x:v>Propósito</x:v>
      </x:c>
      <x:c r="B4" s="32" t="str">
        <x:v>Definir base comparativa</x:v>
      </x:c>
      <x:c r="C4" s="32" t="str"/>
      <x:c r="D4" s="58" t="str">
        <x:v>Quando usar</x:v>
      </x:c>
      <x:c r="E4" s="32" t="str">
        <x:v>Conforme pacote inteligente / Mapa_Selecao</x:v>
      </x:c>
      <x:c r="F4" s="32" t="str"/>
      <x:c r="G4" s="58" t="str">
        <x:v>Observações</x:v>
      </x:c>
      <x:c r="H4" s="32" t="str">
        <x:v>Não substitui projeto detalhado; registra hipóteses, alertas e incertezas.</x:v>
      </x:c>
    </x:row>
    <x:row r="5">
      <x:c r="A5" s="58" t="str">
        <x:v>Produto</x:v>
      </x:c>
      <x:c r="B5" s="32" t="str">
        <x:f>IF(Dashboard!B4="","",Dashboard!B4)</x:f>
      </x:c>
      <x:c r="C5" s="32" t="str"/>
      <x:c r="D5" s="58" t="str">
        <x:v>Responsável</x:v>
      </x:c>
      <x:c r="E5" s="32" t="str">
        <x:f>IF(Dashboard!B6="","",Dashboard!B6)</x:f>
      </x:c>
      <x:c r="F5" s="32" t="str"/>
      <x:c r="G5" s="58" t="str">
        <x:v>Status</x:v>
      </x:c>
      <x:c r="H5" s="32" t="str"/>
    </x:row>
    <x:row r="6">
      <x:c r="A6" s="61" t="e">
        <x:f>HYPERLINK("#'Dashboard'!A1","← Dashboard")</x:f>
      </x:c>
      <x:c r="B6" s="61" t="e">
        <x:f>HYPERLINK("#'Indice'!A1","Índice")</x:f>
      </x:c>
      <x:c r="C6" s="61" t="e">
        <x:f>HYPERLINK("#'Mapa_Selecao'!A1","Mapa de seleção")</x:f>
      </x:c>
    </x:row>
    <x:row r="8">
      <x:c r="A8" s="66" t="str">
        <x:v>Formulário de aplicação da ferramenta</x:v>
      </x:c>
      <x:c r="B8" s="66"/>
      <x:c r="C8" s="66"/>
      <x:c r="D8" s="66"/>
      <x:c r="E8" s="66"/>
      <x:c r="F8" s="66"/>
    </x:row>
    <x:row r="9">
      <x:c r="A9" s="20" t="str">
        <x:v>Item</x:v>
      </x:c>
      <x:c r="B9" s="20" t="str">
        <x:v>Pergunta / campo</x:v>
      </x:c>
      <x:c r="C9" s="20" t="str">
        <x:v>Resposta</x:v>
      </x:c>
      <x:c r="D9" s="20" t="str">
        <x:v>Evidência / observação</x:v>
      </x:c>
      <x:c r="E9" s="20" t="str">
        <x:v>Responsável</x:v>
      </x:c>
      <x:c r="F9" s="20" t="str">
        <x:v>Status</x:v>
      </x:c>
    </x:row>
    <x:row r="10">
      <x:c r="A10" s="32" t="str">
        <x:v>1</x:v>
      </x:c>
      <x:c r="B10" s="32" t="str">
        <x:v>Qual é o objetivo desta ferramenta para este produto?</x:v>
      </x:c>
      <x:c r="C10" s="32" t="str"/>
      <x:c r="D10" s="32" t="str"/>
      <x:c r="E10" s="32" t="str"/>
      <x:c r="F10" s="32" t="str"/>
    </x:row>
    <x:row r="11">
      <x:c r="A11" s="32" t="str">
        <x:v>2</x:v>
      </x:c>
      <x:c r="B11" s="32" t="str">
        <x:v>Quais informações já estão disponíveis?</x:v>
      </x:c>
      <x:c r="C11" s="32" t="str"/>
      <x:c r="D11" s="32" t="str"/>
      <x:c r="E11" s="32" t="str"/>
      <x:c r="F11" s="32" t="str"/>
    </x:row>
    <x:row r="12">
      <x:c r="A12" s="32" t="str">
        <x:v>3</x:v>
      </x:c>
      <x:c r="B12" s="32" t="str">
        <x:v>Quais informações ainda estão pendentes?</x:v>
      </x:c>
      <x:c r="C12" s="32" t="str"/>
      <x:c r="D12" s="32" t="str"/>
      <x:c r="E12" s="32" t="str"/>
      <x:c r="F12" s="32" t="str"/>
    </x:row>
    <x:row r="13">
      <x:c r="A13" s="32" t="str">
        <x:v>4</x:v>
      </x:c>
      <x:c r="B13" s="32" t="str">
        <x:v>Quais achados impactam o conceito?</x:v>
      </x:c>
      <x:c r="C13" s="32" t="str"/>
      <x:c r="D13" s="32" t="str"/>
      <x:c r="E13" s="32" t="str"/>
      <x:c r="F13" s="32" t="str"/>
    </x:row>
    <x:row r="14">
      <x:c r="A14" s="32" t="str">
        <x:v>5</x:v>
      </x:c>
      <x:c r="B14" s="32" t="str">
        <x:v>Quais incertezas devem seguir para o próximo Gate?</x:v>
      </x:c>
      <x:c r="C14" s="32" t="str"/>
      <x:c r="D14" s="32" t="str"/>
      <x:c r="E14" s="32" t="str"/>
      <x:c r="F14" s="32" t="str"/>
    </x:row>
    <x:row r="15">
      <x:c r="A15" s="32"/>
      <x:c r="B15" s="32"/>
      <x:c r="C15" s="32"/>
      <x:c r="D15" s="32"/>
      <x:c r="E15" s="32"/>
      <x:c r="F15" s="32"/>
    </x:row>
    <x:row r="16">
      <x:c r="A16" s="32"/>
      <x:c r="B16" s="32"/>
      <x:c r="C16" s="32"/>
      <x:c r="D16" s="32"/>
      <x:c r="E16" s="32"/>
      <x:c r="F16" s="32"/>
    </x:row>
    <x:row r="17">
      <x:c r="A17" s="32"/>
      <x:c r="B17" s="32"/>
      <x:c r="C17" s="32"/>
      <x:c r="D17" s="32"/>
      <x:c r="E17" s="32"/>
      <x:c r="F17" s="32"/>
    </x:row>
    <x:row r="18">
      <x:c r="A18" s="32"/>
      <x:c r="B18" s="32"/>
      <x:c r="C18" s="32"/>
      <x:c r="D18" s="32"/>
      <x:c r="E18" s="32"/>
      <x:c r="F18" s="32"/>
    </x:row>
    <x:row r="19">
      <x:c r="A19" s="32"/>
      <x:c r="B19" s="32"/>
      <x:c r="C19" s="32"/>
      <x:c r="D19" s="32"/>
      <x:c r="E19" s="32"/>
      <x:c r="F19" s="32"/>
    </x:row>
    <x:row r="20">
      <x:c r="A20" s="32"/>
      <x:c r="B20" s="32"/>
      <x:c r="C20" s="32"/>
      <x:c r="D20" s="32"/>
      <x:c r="E20" s="32"/>
      <x:c r="F20" s="32"/>
    </x:row>
  </x:sheetData>
  <x:mergeCells>
    <x:mergeCell ref="A1:H1"/>
    <x:mergeCell ref="A2:H2"/>
    <x:mergeCell ref="A8:F8"/>
  </x:mergeCells>
  <x:dataValidations count="2">
    <x:dataValidation type="list" sqref="H5">
      <x:formula1>"Não iniciado,Em preenchimento,Em revisão,Concluído"</x:formula1>
    </x:dataValidation>
    <x:dataValidation type="list" sqref="F10:F20">
      <x:formula1>"Não iniciado,Em preenchimento,Concluído,N/A"</x:formula1>
    </x:dataValidation>
  </x:dataValidations>
  <x:pageMargins left="0.7" right="0.7" top="0.75" bottom="0.75" header="0.3" footer="0.3"/>
</x:worksheet>
</file>

<file path=xl/worksheets/sheet63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38" hidden="0" customWidth="1"/>
    <x:col min="3" max="3" width="28" hidden="0" customWidth="1"/>
    <x:col min="4" max="4" width="42" hidden="0" customWidth="1"/>
    <x:col min="5" max="5" width="18" hidden="0" customWidth="1"/>
    <x:col min="6" max="6" width="16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</x:cols>
  <x:sheetData>
    <x:row r="1">
      <x:c r="A1" s="4" t="str">
        <x:v>Matriz de triagem de conceitos</x:v>
      </x:c>
      <x:c r="B1" s="4"/>
      <x:c r="C1" s="4"/>
      <x:c r="D1" s="4"/>
      <x:c r="E1" s="4"/>
      <x:c r="F1" s="4"/>
      <x:c r="G1" s="4"/>
      <x:c r="H1" s="4"/>
    </x:row>
    <x:row r="2">
      <x:c r="A2" s="11" t="str">
        <x:v>Ferramenta do ciclo de idealização até conceito aprovado. Preencha somente quando aplicável ao produto.</x:v>
      </x:c>
      <x:c r="B2" s="11"/>
      <x:c r="C2" s="11"/>
      <x:c r="D2" s="11"/>
      <x:c r="E2" s="11"/>
      <x:c r="F2" s="11"/>
      <x:c r="G2" s="11"/>
      <x:c r="H2" s="11"/>
    </x:row>
    <x:row r="3">
      <x:c r="A3" s="58" t="str">
        <x:v>Código</x:v>
      </x:c>
      <x:c r="B3" s="32" t="str">
        <x:v>G4_TRIAGEM</x:v>
      </x:c>
      <x:c r="C3" s="32" t="str"/>
      <x:c r="D3" s="58" t="str">
        <x:v>Gate</x:v>
      </x:c>
      <x:c r="E3" s="32" t="str">
        <x:v>Gate 4 — Seleção e Teste</x:v>
      </x:c>
      <x:c r="F3" s="32" t="str"/>
      <x:c r="G3" s="58" t="str">
        <x:v>Tipo</x:v>
      </x:c>
      <x:c r="H3" s="32" t="str">
        <x:v>Seleção</x:v>
      </x:c>
    </x:row>
    <x:row r="4">
      <x:c r="A4" s="58" t="str">
        <x:v>Propósito</x:v>
      </x:c>
      <x:c r="B4" s="32" t="str">
        <x:v>Filtrar alternativas rapidamente</x:v>
      </x:c>
      <x:c r="C4" s="32" t="str"/>
      <x:c r="D4" s="58" t="str">
        <x:v>Quando usar</x:v>
      </x:c>
      <x:c r="E4" s="32" t="str">
        <x:v>Conforme pacote inteligente / Mapa_Selecao</x:v>
      </x:c>
      <x:c r="F4" s="32" t="str"/>
      <x:c r="G4" s="58" t="str">
        <x:v>Observações</x:v>
      </x:c>
      <x:c r="H4" s="32" t="str">
        <x:v>Não substitui projeto detalhado; registra hipóteses, alertas e incertezas.</x:v>
      </x:c>
    </x:row>
    <x:row r="5">
      <x:c r="A5" s="58" t="str">
        <x:v>Produto</x:v>
      </x:c>
      <x:c r="B5" s="32" t="str">
        <x:f>IF(Dashboard!B4="","",Dashboard!B4)</x:f>
      </x:c>
      <x:c r="C5" s="32" t="str"/>
      <x:c r="D5" s="58" t="str">
        <x:v>Responsável</x:v>
      </x:c>
      <x:c r="E5" s="32" t="str">
        <x:f>IF(Dashboard!B6="","",Dashboard!B6)</x:f>
      </x:c>
      <x:c r="F5" s="32" t="str"/>
      <x:c r="G5" s="58" t="str">
        <x:v>Status</x:v>
      </x:c>
      <x:c r="H5" s="32" t="str"/>
    </x:row>
    <x:row r="6">
      <x:c r="A6" s="61" t="e">
        <x:f>HYPERLINK("#'Dashboard'!A1","← Dashboard")</x:f>
      </x:c>
      <x:c r="B6" s="61" t="e">
        <x:f>HYPERLINK("#'Indice'!A1","Índice")</x:f>
      </x:c>
      <x:c r="C6" s="61" t="e">
        <x:f>HYPERLINK("#'Mapa_Selecao'!A1","Mapa de seleção")</x:f>
      </x:c>
    </x:row>
    <x:row r="8">
      <x:c r="A8" s="66" t="str">
        <x:v>Formulário de aplicação da ferramenta</x:v>
      </x:c>
      <x:c r="B8" s="66"/>
      <x:c r="C8" s="66"/>
      <x:c r="D8" s="66"/>
      <x:c r="E8" s="66"/>
      <x:c r="F8" s="66"/>
    </x:row>
    <x:row r="9">
      <x:c r="A9" s="20" t="str">
        <x:v>Item</x:v>
      </x:c>
      <x:c r="B9" s="20" t="str">
        <x:v>Pergunta / campo</x:v>
      </x:c>
      <x:c r="C9" s="20" t="str">
        <x:v>Resposta</x:v>
      </x:c>
      <x:c r="D9" s="20" t="str">
        <x:v>Evidência / observação</x:v>
      </x:c>
      <x:c r="E9" s="20" t="str">
        <x:v>Responsável</x:v>
      </x:c>
      <x:c r="F9" s="20" t="str">
        <x:v>Status</x:v>
      </x:c>
    </x:row>
    <x:row r="10">
      <x:c r="A10" s="32" t="str">
        <x:v>1</x:v>
      </x:c>
      <x:c r="B10" s="32" t="str">
        <x:v>Qual é o objetivo desta ferramenta para este produto?</x:v>
      </x:c>
      <x:c r="C10" s="32" t="str"/>
      <x:c r="D10" s="32" t="str"/>
      <x:c r="E10" s="32" t="str"/>
      <x:c r="F10" s="32" t="str"/>
    </x:row>
    <x:row r="11">
      <x:c r="A11" s="32" t="str">
        <x:v>2</x:v>
      </x:c>
      <x:c r="B11" s="32" t="str">
        <x:v>Quais informações já estão disponíveis?</x:v>
      </x:c>
      <x:c r="C11" s="32" t="str"/>
      <x:c r="D11" s="32" t="str"/>
      <x:c r="E11" s="32" t="str"/>
      <x:c r="F11" s="32" t="str"/>
    </x:row>
    <x:row r="12">
      <x:c r="A12" s="32" t="str">
        <x:v>3</x:v>
      </x:c>
      <x:c r="B12" s="32" t="str">
        <x:v>Quais informações ainda estão pendentes?</x:v>
      </x:c>
      <x:c r="C12" s="32" t="str"/>
      <x:c r="D12" s="32" t="str"/>
      <x:c r="E12" s="32" t="str"/>
      <x:c r="F12" s="32" t="str"/>
    </x:row>
    <x:row r="13">
      <x:c r="A13" s="32" t="str">
        <x:v>4</x:v>
      </x:c>
      <x:c r="B13" s="32" t="str">
        <x:v>Quais achados impactam o conceito?</x:v>
      </x:c>
      <x:c r="C13" s="32" t="str"/>
      <x:c r="D13" s="32" t="str"/>
      <x:c r="E13" s="32" t="str"/>
      <x:c r="F13" s="32" t="str"/>
    </x:row>
    <x:row r="14">
      <x:c r="A14" s="32" t="str">
        <x:v>5</x:v>
      </x:c>
      <x:c r="B14" s="32" t="str">
        <x:v>Quais incertezas devem seguir para o próximo Gate?</x:v>
      </x:c>
      <x:c r="C14" s="32" t="str"/>
      <x:c r="D14" s="32" t="str"/>
      <x:c r="E14" s="32" t="str"/>
      <x:c r="F14" s="32" t="str"/>
    </x:row>
    <x:row r="15">
      <x:c r="A15" s="32"/>
      <x:c r="B15" s="32"/>
      <x:c r="C15" s="32"/>
      <x:c r="D15" s="32"/>
      <x:c r="E15" s="32"/>
      <x:c r="F15" s="32"/>
    </x:row>
    <x:row r="16">
      <x:c r="A16" s="32"/>
      <x:c r="B16" s="32"/>
      <x:c r="C16" s="32"/>
      <x:c r="D16" s="32"/>
      <x:c r="E16" s="32"/>
      <x:c r="F16" s="32"/>
    </x:row>
    <x:row r="17">
      <x:c r="A17" s="32"/>
      <x:c r="B17" s="32"/>
      <x:c r="C17" s="32"/>
      <x:c r="D17" s="32"/>
      <x:c r="E17" s="32"/>
      <x:c r="F17" s="32"/>
    </x:row>
    <x:row r="18">
      <x:c r="A18" s="32"/>
      <x:c r="B18" s="32"/>
      <x:c r="C18" s="32"/>
      <x:c r="D18" s="32"/>
      <x:c r="E18" s="32"/>
      <x:c r="F18" s="32"/>
    </x:row>
    <x:row r="19">
      <x:c r="A19" s="32"/>
      <x:c r="B19" s="32"/>
      <x:c r="C19" s="32"/>
      <x:c r="D19" s="32"/>
      <x:c r="E19" s="32"/>
      <x:c r="F19" s="32"/>
    </x:row>
    <x:row r="20">
      <x:c r="A20" s="32"/>
      <x:c r="B20" s="32"/>
      <x:c r="C20" s="32"/>
      <x:c r="D20" s="32"/>
      <x:c r="E20" s="32"/>
      <x:c r="F20" s="32"/>
    </x:row>
  </x:sheetData>
  <x:mergeCells>
    <x:mergeCell ref="A1:H1"/>
    <x:mergeCell ref="A2:H2"/>
    <x:mergeCell ref="A8:F8"/>
  </x:mergeCells>
  <x:dataValidations count="2">
    <x:dataValidation type="list" sqref="H5">
      <x:formula1>"Não iniciado,Em preenchimento,Em revisão,Concluído"</x:formula1>
    </x:dataValidation>
    <x:dataValidation type="list" sqref="F10:F20">
      <x:formula1>"Não iniciado,Em preenchimento,Concluído,N/A"</x:formula1>
    </x:dataValidation>
  </x:dataValidations>
  <x:pageMargins left="0.7" right="0.7" top="0.75" bottom="0.75" header="0.3" footer="0.3"/>
</x:worksheet>
</file>

<file path=xl/worksheets/sheet64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10" hidden="0" customWidth="1"/>
    <x:col min="3" max="3" width="22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34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</x:cols>
  <x:sheetData>
    <x:row r="1">
      <x:c r="A1" s="4" t="str">
        <x:v>Matriz de Pugh</x:v>
      </x:c>
      <x:c r="B1" s="4"/>
      <x:c r="C1" s="4"/>
      <x:c r="D1" s="4"/>
      <x:c r="E1" s="4"/>
      <x:c r="F1" s="4"/>
      <x:c r="G1" s="4"/>
      <x:c r="H1" s="4"/>
    </x:row>
    <x:row r="2">
      <x:c r="A2" s="11" t="str">
        <x:v>Ferramenta do ciclo de idealização até conceito aprovado. Preencha somente quando aplicável ao produto.</x:v>
      </x:c>
      <x:c r="B2" s="11"/>
      <x:c r="C2" s="11"/>
      <x:c r="D2" s="11"/>
      <x:c r="E2" s="11"/>
      <x:c r="F2" s="11"/>
      <x:c r="G2" s="11"/>
      <x:c r="H2" s="11"/>
    </x:row>
    <x:row r="3">
      <x:c r="A3" s="58" t="str">
        <x:v>Código</x:v>
      </x:c>
      <x:c r="B3" s="32" t="str">
        <x:v>G4_PUGH</x:v>
      </x:c>
      <x:c r="C3" s="32" t="str"/>
      <x:c r="D3" s="58" t="str">
        <x:v>Gate</x:v>
      </x:c>
      <x:c r="E3" s="32" t="str">
        <x:v>Gate 4 — Seleção e Teste</x:v>
      </x:c>
      <x:c r="F3" s="32" t="str"/>
      <x:c r="G3" s="58" t="str">
        <x:v>Tipo</x:v>
      </x:c>
      <x:c r="H3" s="32" t="str">
        <x:v>Seleção</x:v>
      </x:c>
    </x:row>
    <x:row r="4">
      <x:c r="A4" s="58" t="str">
        <x:v>Propósito</x:v>
      </x:c>
      <x:c r="B4" s="32" t="str">
        <x:v>Comparar conceitos contra referência</x:v>
      </x:c>
      <x:c r="C4" s="32" t="str"/>
      <x:c r="D4" s="58" t="str">
        <x:v>Quando usar</x:v>
      </x:c>
      <x:c r="E4" s="32" t="str">
        <x:v>Conforme pacote inteligente / Mapa_Selecao</x:v>
      </x:c>
      <x:c r="F4" s="32" t="str"/>
      <x:c r="G4" s="58" t="str">
        <x:v>Observações</x:v>
      </x:c>
      <x:c r="H4" s="32" t="str">
        <x:v>Não substitui projeto detalhado; registra hipóteses, alertas e incertezas.</x:v>
      </x:c>
    </x:row>
    <x:row r="5">
      <x:c r="A5" s="58" t="str">
        <x:v>Produto</x:v>
      </x:c>
      <x:c r="B5" s="32" t="str">
        <x:f>IF(Dashboard!B4="","",Dashboard!B4)</x:f>
      </x:c>
      <x:c r="C5" s="32" t="str"/>
      <x:c r="D5" s="58" t="str">
        <x:v>Responsável</x:v>
      </x:c>
      <x:c r="E5" s="32" t="str">
        <x:f>IF(Dashboard!B6="","",Dashboard!B6)</x:f>
      </x:c>
      <x:c r="F5" s="32" t="str"/>
      <x:c r="G5" s="58" t="str">
        <x:v>Status</x:v>
      </x:c>
      <x:c r="H5" s="32" t="str"/>
    </x:row>
    <x:row r="6">
      <x:c r="A6" s="61" t="e">
        <x:f>HYPERLINK("#'Dashboard'!A1","← Dashboard")</x:f>
      </x:c>
      <x:c r="B6" s="61" t="e">
        <x:f>HYPERLINK("#'Indice'!A1","Índice")</x:f>
      </x:c>
      <x:c r="C6" s="61" t="e">
        <x:f>HYPERLINK("#'Mapa_Selecao'!A1","Mapa de seleção")</x:f>
      </x:c>
    </x:row>
    <x:row r="8">
      <x:c r="A8" s="66" t="str">
        <x:v>Matriz de Pugh (+ / 0 / -)</x:v>
      </x:c>
      <x:c r="B8" s="66" t="str"/>
      <x:c r="C8" s="66" t="str"/>
      <x:c r="D8" s="66" t="str"/>
      <x:c r="E8" s="66" t="str"/>
      <x:c r="F8" s="66" t="str"/>
      <x:c r="G8" s="66" t="str"/>
      <x:c r="H8" s="66" t="str"/>
    </x:row>
    <x:row r="9">
      <x:c r="A9" s="20" t="str">
        <x:v>Critério</x:v>
      </x:c>
      <x:c r="B9" s="20" t="str">
        <x:v>Peso</x:v>
      </x:c>
      <x:c r="C9" s="20" t="str">
        <x:v>Referência</x:v>
      </x:c>
      <x:c r="D9" s="20" t="str">
        <x:v>Conceito A</x:v>
      </x:c>
      <x:c r="E9" s="20" t="str">
        <x:v>Conceito B</x:v>
      </x:c>
      <x:c r="F9" s="20" t="str">
        <x:v>Conceito C</x:v>
      </x:c>
      <x:c r="G9" s="20" t="str">
        <x:v>Conceito D</x:v>
      </x:c>
      <x:c r="H9" s="20" t="str">
        <x:v>Observação</x:v>
      </x:c>
    </x:row>
    <x:row r="10">
      <x:c r="A10" t="str"/>
      <x:c r="B10" t="n">
        <x:v>1</x:v>
      </x:c>
      <x:c r="C10" t="str">
        <x:v>Referência</x:v>
      </x:c>
      <x:c r="D10" t="str"/>
      <x:c r="E10" t="str"/>
      <x:c r="F10" t="str"/>
      <x:c r="G10" t="str"/>
      <x:c r="H10" t="str"/>
    </x:row>
    <x:row r="11">
      <x:c r="A11" t="str"/>
      <x:c r="B11" t="n">
        <x:v>1</x:v>
      </x:c>
      <x:c r="C11" t="str">
        <x:v>Referência</x:v>
      </x:c>
      <x:c r="D11" t="str"/>
      <x:c r="E11" t="str"/>
      <x:c r="F11" t="str"/>
      <x:c r="G11" t="str"/>
      <x:c r="H11" t="str"/>
    </x:row>
    <x:row r="12">
      <x:c r="A12" t="str"/>
      <x:c r="B12" t="n">
        <x:v>1</x:v>
      </x:c>
      <x:c r="C12" t="str">
        <x:v>Referência</x:v>
      </x:c>
      <x:c r="D12" t="str"/>
      <x:c r="E12" t="str"/>
      <x:c r="F12" t="str"/>
      <x:c r="G12" t="str"/>
      <x:c r="H12" t="str"/>
    </x:row>
    <x:row r="13">
      <x:c r="A13" t="str"/>
      <x:c r="B13" t="n">
        <x:v>1</x:v>
      </x:c>
      <x:c r="C13" t="str">
        <x:v>Referência</x:v>
      </x:c>
      <x:c r="D13" t="str"/>
      <x:c r="E13" t="str"/>
      <x:c r="F13" t="str"/>
      <x:c r="G13" t="str"/>
      <x:c r="H13" t="str"/>
    </x:row>
    <x:row r="14">
      <x:c r="A14" t="str"/>
      <x:c r="B14" t="n">
        <x:v>1</x:v>
      </x:c>
      <x:c r="C14" t="str">
        <x:v>Referência</x:v>
      </x:c>
      <x:c r="D14" t="str"/>
      <x:c r="E14" t="str"/>
      <x:c r="F14" t="str"/>
      <x:c r="G14" t="str"/>
      <x:c r="H14" t="str"/>
    </x:row>
    <x:row r="15">
      <x:c r="A15" t="str"/>
      <x:c r="B15" t="n">
        <x:v>1</x:v>
      </x:c>
      <x:c r="C15" t="str">
        <x:v>Referência</x:v>
      </x:c>
      <x:c r="D15" t="str"/>
      <x:c r="E15" t="str"/>
      <x:c r="F15" t="str"/>
      <x:c r="G15" t="str"/>
      <x:c r="H15" t="str"/>
    </x:row>
    <x:row r="16">
      <x:c r="A16" t="str"/>
      <x:c r="B16" t="n">
        <x:v>1</x:v>
      </x:c>
      <x:c r="C16" t="str">
        <x:v>Referência</x:v>
      </x:c>
      <x:c r="D16" t="str"/>
      <x:c r="E16" t="str"/>
      <x:c r="F16" t="str"/>
      <x:c r="G16" t="str"/>
      <x:c r="H16" t="str"/>
    </x:row>
    <x:row r="17">
      <x:c r="A17" t="str"/>
      <x:c r="B17" t="n">
        <x:v>1</x:v>
      </x:c>
      <x:c r="C17" t="str">
        <x:v>Referência</x:v>
      </x:c>
      <x:c r="D17" t="str"/>
      <x:c r="E17" t="str"/>
      <x:c r="F17" t="str"/>
      <x:c r="G17" t="str"/>
      <x:c r="H17" t="str"/>
    </x:row>
    <x:row r="18">
      <x:c r="A18" t="str"/>
      <x:c r="B18" t="n">
        <x:v>1</x:v>
      </x:c>
      <x:c r="C18" t="str">
        <x:v>Referência</x:v>
      </x:c>
      <x:c r="D18" t="str"/>
      <x:c r="E18" t="str"/>
      <x:c r="F18" t="str"/>
      <x:c r="G18" t="str"/>
      <x:c r="H18" t="str"/>
    </x:row>
    <x:row r="19">
      <x:c r="A19" t="str"/>
      <x:c r="B19" t="n">
        <x:v>1</x:v>
      </x:c>
      <x:c r="C19" t="str">
        <x:v>Referência</x:v>
      </x:c>
      <x:c r="D19" t="str"/>
      <x:c r="E19" t="str"/>
      <x:c r="F19" t="str"/>
      <x:c r="G19" t="str"/>
      <x:c r="H19" t="str"/>
    </x:row>
    <x:row r="20">
      <x:c r="A20" t="str"/>
      <x:c r="B20" t="n">
        <x:v>1</x:v>
      </x:c>
      <x:c r="C20" t="str">
        <x:v>Referência</x:v>
      </x:c>
      <x:c r="D20" t="str"/>
      <x:c r="E20" t="str"/>
      <x:c r="F20" t="str"/>
      <x:c r="G20" t="str"/>
      <x:c r="H20" t="str"/>
    </x:row>
    <x:row r="21">
      <x:c r="A21" t="str"/>
      <x:c r="B21" t="n">
        <x:v>1</x:v>
      </x:c>
      <x:c r="C21" t="str">
        <x:v>Referência</x:v>
      </x:c>
      <x:c r="D21" t="str"/>
      <x:c r="E21" t="str"/>
      <x:c r="F21" t="str"/>
      <x:c r="G21" t="str"/>
      <x:c r="H21" t="str"/>
    </x:row>
    <x:row r="23">
      <x:c r="A23" s="66" t="str">
        <x:v>Pontuação ponderada</x:v>
      </x:c>
      <x:c r="B23" s="66" t="str"/>
      <x:c r="C23" s="66" t="str"/>
      <x:c r="D23" s="66" t="n">
        <x:f>SUMPRODUCT($B$10:$B$21,--(D$10:D$21="+"))-SUMPRODUCT($B$10:$B$21,--(D$10:D$21="-"))</x:f>
        <x:v>0</x:v>
      </x:c>
      <x:c r="E23" s="66" t="n">
        <x:f>SUMPRODUCT($B$10:$B$21,--(E$10:E$21="+"))-SUMPRODUCT($B$10:$B$21,--(E$10:E$21="-"))</x:f>
        <x:v>0</x:v>
      </x:c>
      <x:c r="F23" s="66" t="n">
        <x:f>SUMPRODUCT($B$10:$B$21,--(F$10:F$21="+"))-SUMPRODUCT($B$10:$B$21,--(F$10:F$21="-"))</x:f>
        <x:v>0</x:v>
      </x:c>
      <x:c r="G23" s="66" t="n">
        <x:f>SUMPRODUCT($B$10:$B$21,--(G$10:G$21="+"))-SUMPRODUCT($B$10:$B$21,--(G$10:G$21="-"))</x:f>
        <x:v>0</x:v>
      </x:c>
      <x:c r="H23" s="66"/>
    </x:row>
  </x:sheetData>
  <x:mergeCells>
    <x:mergeCell ref="A1:H1"/>
    <x:mergeCell ref="A2:H2"/>
    <x:mergeCell ref="A8:H8"/>
    <x:mergeCell ref="A23:C23"/>
  </x:mergeCells>
  <x:dataValidations count="2">
    <x:dataValidation type="list" sqref="H5">
      <x:formula1>"Não iniciado,Em preenchimento,Em revisão,Concluído"</x:formula1>
    </x:dataValidation>
    <x:dataValidation type="list" sqref="D10:G21">
      <x:formula1>"+,0,-"</x:formula1>
    </x:dataValidation>
  </x:dataValidations>
  <x:pageMargins left="0.7" right="0.7" top="0.75" bottom="0.75" header="0.3" footer="0.3"/>
</x:worksheet>
</file>

<file path=xl/worksheets/sheet65.xml><?xml version="1.0" encoding="utf-8"?>
<x:worksheet xmlns:x="http://schemas.openxmlformats.org/spreadsheetml/2006/main">
  <x:sheetFormatPr defaultRowHeight="15"/>
  <x:cols>
    <x:col min="1" max="1" width="32" hidden="0" customWidth="1"/>
    <x:col min="2" max="2" width="10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8" hidden="0" customWidth="1"/>
    <x:col min="12" max="12" width="18" hidden="0" customWidth="1"/>
  </x:cols>
  <x:sheetData>
    <x:row r="1">
      <x:c r="A1" s="4" t="str">
        <x:v>Matriz de decisão ponderada</x:v>
      </x:c>
      <x:c r="B1" s="4"/>
      <x:c r="C1" s="4"/>
      <x:c r="D1" s="4"/>
      <x:c r="E1" s="4"/>
      <x:c r="F1" s="4"/>
      <x:c r="G1" s="4"/>
      <x:c r="H1" s="4"/>
      <x:c r="I1" s="4"/>
      <x:c r="J1" s="4"/>
    </x:row>
    <x:row r="2">
      <x:c r="A2" s="11" t="str">
        <x:v>Ferramenta do ciclo de idealização até conceito aprovado. Preencha somente quando aplicável ao produto.</x:v>
      </x:c>
      <x:c r="B2" s="11"/>
      <x:c r="C2" s="11"/>
      <x:c r="D2" s="11"/>
      <x:c r="E2" s="11"/>
      <x:c r="F2" s="11"/>
      <x:c r="G2" s="11"/>
      <x:c r="H2" s="11"/>
      <x:c r="I2" s="11"/>
      <x:c r="J2" s="11"/>
    </x:row>
    <x:row r="3">
      <x:c r="A3" s="58" t="str">
        <x:v>Código</x:v>
      </x:c>
      <x:c r="B3" s="32" t="str">
        <x:v>G4_PONDER</x:v>
      </x:c>
      <x:c r="C3" s="32" t="str"/>
      <x:c r="D3" s="58" t="str">
        <x:v>Gate</x:v>
      </x:c>
      <x:c r="E3" s="32" t="str">
        <x:v>Gate 4 — Seleção e Teste</x:v>
      </x:c>
      <x:c r="F3" s="32" t="str"/>
      <x:c r="G3" s="58" t="str">
        <x:v>Tipo</x:v>
      </x:c>
      <x:c r="H3" s="32" t="str">
        <x:v>Seleção</x:v>
      </x:c>
    </x:row>
    <x:row r="4">
      <x:c r="A4" s="58" t="str">
        <x:v>Propósito</x:v>
      </x:c>
      <x:c r="B4" s="32" t="str">
        <x:v>Selecionar conceito por pesos</x:v>
      </x:c>
      <x:c r="C4" s="32" t="str"/>
      <x:c r="D4" s="58" t="str">
        <x:v>Quando usar</x:v>
      </x:c>
      <x:c r="E4" s="32" t="str">
        <x:v>Conforme pacote inteligente / Mapa_Selecao</x:v>
      </x:c>
      <x:c r="F4" s="32" t="str"/>
      <x:c r="G4" s="58" t="str">
        <x:v>Observações</x:v>
      </x:c>
      <x:c r="H4" s="32" t="str">
        <x:v>Não substitui projeto detalhado; registra hipóteses, alertas e incertezas.</x:v>
      </x:c>
    </x:row>
    <x:row r="5">
      <x:c r="A5" s="58" t="str">
        <x:v>Produto</x:v>
      </x:c>
      <x:c r="B5" s="32" t="str">
        <x:f>IF(Dashboard!B4="","",Dashboard!B4)</x:f>
      </x:c>
      <x:c r="C5" s="32" t="str"/>
      <x:c r="D5" s="58" t="str">
        <x:v>Responsável</x:v>
      </x:c>
      <x:c r="E5" s="32" t="str">
        <x:f>IF(Dashboard!B6="","",Dashboard!B6)</x:f>
      </x:c>
      <x:c r="F5" s="32" t="str"/>
      <x:c r="G5" s="58" t="str">
        <x:v>Status</x:v>
      </x:c>
      <x:c r="H5" s="32" t="str"/>
    </x:row>
    <x:row r="6">
      <x:c r="A6" s="61" t="e">
        <x:f>HYPERLINK("#'Dashboard'!A1","← Dashboard")</x:f>
      </x:c>
      <x:c r="B6" s="61" t="e">
        <x:f>HYPERLINK("#'Indice'!A1","Índice")</x:f>
      </x:c>
      <x:c r="C6" s="61" t="e">
        <x:f>HYPERLINK("#'Mapa_Selecao'!A1","Mapa de seleção")</x:f>
      </x:c>
    </x:row>
    <x:row r="8">
      <x:c r="A8" s="66" t="str">
        <x:v>Matriz de decisão ponderada</x:v>
      </x:c>
      <x:c r="B8" s="66" t="str"/>
      <x:c r="C8" s="66" t="str"/>
      <x:c r="D8" s="66" t="str"/>
      <x:c r="E8" s="66" t="str"/>
      <x:c r="F8" s="66" t="str"/>
      <x:c r="G8" s="66" t="str"/>
      <x:c r="H8" s="66" t="str"/>
      <x:c r="I8" s="66" t="str"/>
      <x:c r="J8" s="66" t="str"/>
    </x:row>
    <x:row r="9">
      <x:c r="A9" s="20" t="str">
        <x:v>Critério</x:v>
      </x:c>
      <x:c r="B9" s="20" t="str">
        <x:v>Peso</x:v>
      </x:c>
      <x:c r="C9" s="20" t="str">
        <x:v>Conceito A</x:v>
      </x:c>
      <x:c r="D9" s="20" t="str">
        <x:v>Score A</x:v>
      </x:c>
      <x:c r="E9" s="20" t="str">
        <x:v>Conceito B</x:v>
      </x:c>
      <x:c r="F9" s="20" t="str">
        <x:v>Score B</x:v>
      </x:c>
      <x:c r="G9" s="20" t="str">
        <x:v>Conceito C</x:v>
      </x:c>
      <x:c r="H9" s="20" t="str">
        <x:v>Score C</x:v>
      </x:c>
      <x:c r="I9" s="20" t="str">
        <x:v>Conceito D</x:v>
      </x:c>
      <x:c r="J9" s="20" t="str">
        <x:v>Score D</x:v>
      </x:c>
    </x:row>
    <x:row r="10">
      <x:c r="A10" t="str"/>
      <x:c r="B10" t="n">
        <x:v>1</x:v>
      </x:c>
      <x:c r="C10" t="str"/>
      <x:c r="D10" t="n">
        <x:f>IFERROR($B10*C10,"")</x:f>
        <x:v>0</x:v>
      </x:c>
      <x:c r="E10" t="str"/>
      <x:c r="F10" t="n">
        <x:f>IFERROR($B10*E10,"")</x:f>
        <x:v>0</x:v>
      </x:c>
      <x:c r="G10" t="str"/>
      <x:c r="H10" t="n">
        <x:f>IFERROR($B10*G10,"")</x:f>
        <x:v>0</x:v>
      </x:c>
      <x:c r="I10" t="str"/>
      <x:c r="J10" t="n">
        <x:f>IFERROR($B10*I10,"")</x:f>
        <x:v>0</x:v>
      </x:c>
    </x:row>
    <x:row r="11">
      <x:c r="A11" t="str"/>
      <x:c r="B11" t="n">
        <x:v>1</x:v>
      </x:c>
      <x:c r="C11" t="str"/>
      <x:c r="D11" t="n">
        <x:f>IFERROR($B11*C11,"")</x:f>
        <x:v>0</x:v>
      </x:c>
      <x:c r="E11" t="str"/>
      <x:c r="F11" t="n">
        <x:f>IFERROR($B11*E11,"")</x:f>
        <x:v>0</x:v>
      </x:c>
      <x:c r="G11" t="str"/>
      <x:c r="H11" t="n">
        <x:f>IFERROR($B11*G11,"")</x:f>
        <x:v>0</x:v>
      </x:c>
      <x:c r="I11" t="str"/>
      <x:c r="J11" t="n">
        <x:f>IFERROR($B11*I11,"")</x:f>
        <x:v>0</x:v>
      </x:c>
    </x:row>
    <x:row r="12">
      <x:c r="A12" t="str"/>
      <x:c r="B12" t="n">
        <x:v>1</x:v>
      </x:c>
      <x:c r="C12" t="str"/>
      <x:c r="D12" t="n">
        <x:f>IFERROR($B12*C12,"")</x:f>
        <x:v>0</x:v>
      </x:c>
      <x:c r="E12" t="str"/>
      <x:c r="F12" t="n">
        <x:f>IFERROR($B12*E12,"")</x:f>
        <x:v>0</x:v>
      </x:c>
      <x:c r="G12" t="str"/>
      <x:c r="H12" t="n">
        <x:f>IFERROR($B12*G12,"")</x:f>
        <x:v>0</x:v>
      </x:c>
      <x:c r="I12" t="str"/>
      <x:c r="J12" t="n">
        <x:f>IFERROR($B12*I12,"")</x:f>
        <x:v>0</x:v>
      </x:c>
    </x:row>
    <x:row r="13">
      <x:c r="A13" t="str"/>
      <x:c r="B13" t="n">
        <x:v>1</x:v>
      </x:c>
      <x:c r="C13" t="str"/>
      <x:c r="D13" t="n">
        <x:f>IFERROR($B13*C13,"")</x:f>
        <x:v>0</x:v>
      </x:c>
      <x:c r="E13" t="str"/>
      <x:c r="F13" t="n">
        <x:f>IFERROR($B13*E13,"")</x:f>
        <x:v>0</x:v>
      </x:c>
      <x:c r="G13" t="str"/>
      <x:c r="H13" t="n">
        <x:f>IFERROR($B13*G13,"")</x:f>
        <x:v>0</x:v>
      </x:c>
      <x:c r="I13" t="str"/>
      <x:c r="J13" t="n">
        <x:f>IFERROR($B13*I13,"")</x:f>
        <x:v>0</x:v>
      </x:c>
    </x:row>
    <x:row r="14">
      <x:c r="A14" t="str"/>
      <x:c r="B14" t="n">
        <x:v>1</x:v>
      </x:c>
      <x:c r="C14" t="str"/>
      <x:c r="D14" t="n">
        <x:f>IFERROR($B14*C14,"")</x:f>
        <x:v>0</x:v>
      </x:c>
      <x:c r="E14" t="str"/>
      <x:c r="F14" t="n">
        <x:f>IFERROR($B14*E14,"")</x:f>
        <x:v>0</x:v>
      </x:c>
      <x:c r="G14" t="str"/>
      <x:c r="H14" t="n">
        <x:f>IFERROR($B14*G14,"")</x:f>
        <x:v>0</x:v>
      </x:c>
      <x:c r="I14" t="str"/>
      <x:c r="J14" t="n">
        <x:f>IFERROR($B14*I14,"")</x:f>
        <x:v>0</x:v>
      </x:c>
    </x:row>
    <x:row r="15">
      <x:c r="A15" t="str"/>
      <x:c r="B15" t="n">
        <x:v>1</x:v>
      </x:c>
      <x:c r="C15" t="str"/>
      <x:c r="D15" t="n">
        <x:f>IFERROR($B15*C15,"")</x:f>
        <x:v>0</x:v>
      </x:c>
      <x:c r="E15" t="str"/>
      <x:c r="F15" t="n">
        <x:f>IFERROR($B15*E15,"")</x:f>
        <x:v>0</x:v>
      </x:c>
      <x:c r="G15" t="str"/>
      <x:c r="H15" t="n">
        <x:f>IFERROR($B15*G15,"")</x:f>
        <x:v>0</x:v>
      </x:c>
      <x:c r="I15" t="str"/>
      <x:c r="J15" t="n">
        <x:f>IFERROR($B15*I15,"")</x:f>
        <x:v>0</x:v>
      </x:c>
    </x:row>
    <x:row r="16">
      <x:c r="A16" t="str"/>
      <x:c r="B16" t="n">
        <x:v>1</x:v>
      </x:c>
      <x:c r="C16" t="str"/>
      <x:c r="D16" t="n">
        <x:f>IFERROR($B16*C16,"")</x:f>
        <x:v>0</x:v>
      </x:c>
      <x:c r="E16" t="str"/>
      <x:c r="F16" t="n">
        <x:f>IFERROR($B16*E16,"")</x:f>
        <x:v>0</x:v>
      </x:c>
      <x:c r="G16" t="str"/>
      <x:c r="H16" t="n">
        <x:f>IFERROR($B16*G16,"")</x:f>
        <x:v>0</x:v>
      </x:c>
      <x:c r="I16" t="str"/>
      <x:c r="J16" t="n">
        <x:f>IFERROR($B16*I16,"")</x:f>
        <x:v>0</x:v>
      </x:c>
    </x:row>
    <x:row r="17">
      <x:c r="A17" t="str"/>
      <x:c r="B17" t="n">
        <x:v>1</x:v>
      </x:c>
      <x:c r="C17" t="str"/>
      <x:c r="D17" t="n">
        <x:f>IFERROR($B17*C17,"")</x:f>
        <x:v>0</x:v>
      </x:c>
      <x:c r="E17" t="str"/>
      <x:c r="F17" t="n">
        <x:f>IFERROR($B17*E17,"")</x:f>
        <x:v>0</x:v>
      </x:c>
      <x:c r="G17" t="str"/>
      <x:c r="H17" t="n">
        <x:f>IFERROR($B17*G17,"")</x:f>
        <x:v>0</x:v>
      </x:c>
      <x:c r="I17" t="str"/>
      <x:c r="J17" t="n">
        <x:f>IFERROR($B17*I17,"")</x:f>
        <x:v>0</x:v>
      </x:c>
    </x:row>
    <x:row r="18">
      <x:c r="A18" t="str"/>
      <x:c r="B18" t="n">
        <x:v>1</x:v>
      </x:c>
      <x:c r="C18" t="str"/>
      <x:c r="D18" t="n">
        <x:f>IFERROR($B18*C18,"")</x:f>
        <x:v>0</x:v>
      </x:c>
      <x:c r="E18" t="str"/>
      <x:c r="F18" t="n">
        <x:f>IFERROR($B18*E18,"")</x:f>
        <x:v>0</x:v>
      </x:c>
      <x:c r="G18" t="str"/>
      <x:c r="H18" t="n">
        <x:f>IFERROR($B18*G18,"")</x:f>
        <x:v>0</x:v>
      </x:c>
      <x:c r="I18" t="str"/>
      <x:c r="J18" t="n">
        <x:f>IFERROR($B18*I18,"")</x:f>
        <x:v>0</x:v>
      </x:c>
    </x:row>
    <x:row r="19">
      <x:c r="A19" t="str"/>
      <x:c r="B19" t="n">
        <x:v>1</x:v>
      </x:c>
      <x:c r="C19" t="str"/>
      <x:c r="D19" t="n">
        <x:f>IFERROR($B19*C19,"")</x:f>
        <x:v>0</x:v>
      </x:c>
      <x:c r="E19" t="str"/>
      <x:c r="F19" t="n">
        <x:f>IFERROR($B19*E19,"")</x:f>
        <x:v>0</x:v>
      </x:c>
      <x:c r="G19" t="str"/>
      <x:c r="H19" t="n">
        <x:f>IFERROR($B19*G19,"")</x:f>
        <x:v>0</x:v>
      </x:c>
      <x:c r="I19" t="str"/>
      <x:c r="J19" t="n">
        <x:f>IFERROR($B19*I19,"")</x:f>
        <x:v>0</x:v>
      </x:c>
    </x:row>
    <x:row r="20">
      <x:c r="A20" t="str"/>
      <x:c r="B20" t="n">
        <x:v>1</x:v>
      </x:c>
      <x:c r="C20" t="str"/>
      <x:c r="D20" t="n">
        <x:f>IFERROR($B20*C20,"")</x:f>
        <x:v>0</x:v>
      </x:c>
      <x:c r="E20" t="str"/>
      <x:c r="F20" t="n">
        <x:f>IFERROR($B20*E20,"")</x:f>
        <x:v>0</x:v>
      </x:c>
      <x:c r="G20" t="str"/>
      <x:c r="H20" t="n">
        <x:f>IFERROR($B20*G20,"")</x:f>
        <x:v>0</x:v>
      </x:c>
      <x:c r="I20" t="str"/>
      <x:c r="J20" t="n">
        <x:f>IFERROR($B20*I20,"")</x:f>
        <x:v>0</x:v>
      </x:c>
    </x:row>
    <x:row r="21">
      <x:c r="A21" t="str"/>
      <x:c r="B21" t="n">
        <x:v>1</x:v>
      </x:c>
      <x:c r="C21" t="str"/>
      <x:c r="D21" t="n">
        <x:f>IFERROR($B21*C21,"")</x:f>
        <x:v>0</x:v>
      </x:c>
      <x:c r="E21" t="str"/>
      <x:c r="F21" t="n">
        <x:f>IFERROR($B21*E21,"")</x:f>
        <x:v>0</x:v>
      </x:c>
      <x:c r="G21" t="str"/>
      <x:c r="H21" t="n">
        <x:f>IFERROR($B21*G21,"")</x:f>
        <x:v>0</x:v>
      </x:c>
      <x:c r="I21" t="str"/>
      <x:c r="J21" t="n">
        <x:f>IFERROR($B21*I21,"")</x:f>
        <x:v>0</x:v>
      </x:c>
    </x:row>
    <x:row r="23">
      <x:c r="A23" s="66" t="str">
        <x:v>Total</x:v>
      </x:c>
      <x:c r="B23" s="66" t="str"/>
      <x:c r="C23" s="66"/>
      <x:c r="D23" s="66" t="n">
        <x:f>SUM(D10:D21)</x:f>
        <x:v>0</x:v>
      </x:c>
      <x:c r="E23" s="66"/>
      <x:c r="F23" s="66" t="n">
        <x:f>SUM(F10:F21)</x:f>
        <x:v>0</x:v>
      </x:c>
      <x:c r="G23" s="66"/>
      <x:c r="H23" s="66" t="n">
        <x:f>SUM(H10:H21)</x:f>
        <x:v>0</x:v>
      </x:c>
      <x:c r="I23" s="66"/>
      <x:c r="J23" s="66" t="n">
        <x:f>SUM(J10:J21)</x:f>
        <x:v>0</x:v>
      </x:c>
    </x:row>
  </x:sheetData>
  <x:mergeCells>
    <x:mergeCell ref="A1:J1"/>
    <x:mergeCell ref="A2:J2"/>
    <x:mergeCell ref="A8:J8"/>
  </x:mergeCells>
  <x:dataValidations count="5">
    <x:dataValidation type="list" sqref="H5">
      <x:formula1>"Não iniciado,Em preenchimento,Em revisão,Concluído"</x:formula1>
    </x:dataValidation>
    <x:dataValidation type="list" sqref="C10:C21">
      <x:formula1>"0,1,2,3,4,5"</x:formula1>
    </x:dataValidation>
    <x:dataValidation type="list" sqref="E10:E21">
      <x:formula1>"0,1,2,3,4,5"</x:formula1>
    </x:dataValidation>
    <x:dataValidation type="list" sqref="G10:G21">
      <x:formula1>"0,1,2,3,4,5"</x:formula1>
    </x:dataValidation>
    <x:dataValidation type="list" sqref="I10:I21">
      <x:formula1>"0,1,2,3,4,5"</x:formula1>
    </x:dataValidation>
  </x:dataValidations>
  <x:pageMargins left="0.7" right="0.7" top="0.75" bottom="0.75" header="0.3" footer="0.3"/>
</x:worksheet>
</file>

<file path=xl/worksheets/sheet66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38" hidden="0" customWidth="1"/>
    <x:col min="3" max="3" width="28" hidden="0" customWidth="1"/>
    <x:col min="4" max="4" width="42" hidden="0" customWidth="1"/>
    <x:col min="5" max="5" width="18" hidden="0" customWidth="1"/>
    <x:col min="6" max="6" width="16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</x:cols>
  <x:sheetData>
    <x:row r="1">
      <x:c r="A1" s="4" t="str">
        <x:v>Trade-off conceitual</x:v>
      </x:c>
      <x:c r="B1" s="4"/>
      <x:c r="C1" s="4"/>
      <x:c r="D1" s="4"/>
      <x:c r="E1" s="4"/>
      <x:c r="F1" s="4"/>
      <x:c r="G1" s="4"/>
      <x:c r="H1" s="4"/>
    </x:row>
    <x:row r="2">
      <x:c r="A2" s="11" t="str">
        <x:v>Ferramenta do ciclo de idealização até conceito aprovado. Preencha somente quando aplicável ao produto.</x:v>
      </x:c>
      <x:c r="B2" s="11"/>
      <x:c r="C2" s="11"/>
      <x:c r="D2" s="11"/>
      <x:c r="E2" s="11"/>
      <x:c r="F2" s="11"/>
      <x:c r="G2" s="11"/>
      <x:c r="H2" s="11"/>
    </x:row>
    <x:row r="3">
      <x:c r="A3" s="58" t="str">
        <x:v>Código</x:v>
      </x:c>
      <x:c r="B3" s="32" t="str">
        <x:v>G4_TRADE</x:v>
      </x:c>
      <x:c r="C3" s="32" t="str"/>
      <x:c r="D3" s="58" t="str">
        <x:v>Gate</x:v>
      </x:c>
      <x:c r="E3" s="32" t="str">
        <x:v>Gate 4 — Seleção e Teste</x:v>
      </x:c>
      <x:c r="F3" s="32" t="str"/>
      <x:c r="G3" s="58" t="str">
        <x:v>Tipo</x:v>
      </x:c>
      <x:c r="H3" s="32" t="str">
        <x:v>Seleção</x:v>
      </x:c>
    </x:row>
    <x:row r="4">
      <x:c r="A4" s="58" t="str">
        <x:v>Propósito</x:v>
      </x:c>
      <x:c r="B4" s="32" t="str">
        <x:v>Comparar ganhos, perdas e incertezas</x:v>
      </x:c>
      <x:c r="C4" s="32" t="str"/>
      <x:c r="D4" s="58" t="str">
        <x:v>Quando usar</x:v>
      </x:c>
      <x:c r="E4" s="32" t="str">
        <x:v>Conforme pacote inteligente / Mapa_Selecao</x:v>
      </x:c>
      <x:c r="F4" s="32" t="str"/>
      <x:c r="G4" s="58" t="str">
        <x:v>Observações</x:v>
      </x:c>
      <x:c r="H4" s="32" t="str">
        <x:v>Não substitui projeto detalhado; registra hipóteses, alertas e incertezas.</x:v>
      </x:c>
    </x:row>
    <x:row r="5">
      <x:c r="A5" s="58" t="str">
        <x:v>Produto</x:v>
      </x:c>
      <x:c r="B5" s="32" t="str">
        <x:f>IF(Dashboard!B4="","",Dashboard!B4)</x:f>
      </x:c>
      <x:c r="C5" s="32" t="str"/>
      <x:c r="D5" s="58" t="str">
        <x:v>Responsável</x:v>
      </x:c>
      <x:c r="E5" s="32" t="str">
        <x:f>IF(Dashboard!B6="","",Dashboard!B6)</x:f>
      </x:c>
      <x:c r="F5" s="32" t="str"/>
      <x:c r="G5" s="58" t="str">
        <x:v>Status</x:v>
      </x:c>
      <x:c r="H5" s="32" t="str"/>
    </x:row>
    <x:row r="6">
      <x:c r="A6" s="61" t="e">
        <x:f>HYPERLINK("#'Dashboard'!A1","← Dashboard")</x:f>
      </x:c>
      <x:c r="B6" s="61" t="e">
        <x:f>HYPERLINK("#'Indice'!A1","Índice")</x:f>
      </x:c>
      <x:c r="C6" s="61" t="e">
        <x:f>HYPERLINK("#'Mapa_Selecao'!A1","Mapa de seleção")</x:f>
      </x:c>
    </x:row>
    <x:row r="8">
      <x:c r="A8" s="66" t="str">
        <x:v>Formulário de aplicação da ferramenta</x:v>
      </x:c>
      <x:c r="B8" s="66"/>
      <x:c r="C8" s="66"/>
      <x:c r="D8" s="66"/>
      <x:c r="E8" s="66"/>
      <x:c r="F8" s="66"/>
    </x:row>
    <x:row r="9">
      <x:c r="A9" s="20" t="str">
        <x:v>Item</x:v>
      </x:c>
      <x:c r="B9" s="20" t="str">
        <x:v>Pergunta / campo</x:v>
      </x:c>
      <x:c r="C9" s="20" t="str">
        <x:v>Resposta</x:v>
      </x:c>
      <x:c r="D9" s="20" t="str">
        <x:v>Evidência / observação</x:v>
      </x:c>
      <x:c r="E9" s="20" t="str">
        <x:v>Responsável</x:v>
      </x:c>
      <x:c r="F9" s="20" t="str">
        <x:v>Status</x:v>
      </x:c>
    </x:row>
    <x:row r="10">
      <x:c r="A10" s="32" t="str">
        <x:v>1</x:v>
      </x:c>
      <x:c r="B10" s="32" t="str">
        <x:v>Qual é o objetivo desta ferramenta para este produto?</x:v>
      </x:c>
      <x:c r="C10" s="32" t="str"/>
      <x:c r="D10" s="32" t="str"/>
      <x:c r="E10" s="32" t="str"/>
      <x:c r="F10" s="32" t="str"/>
    </x:row>
    <x:row r="11">
      <x:c r="A11" s="32" t="str">
        <x:v>2</x:v>
      </x:c>
      <x:c r="B11" s="32" t="str">
        <x:v>Quais informações já estão disponíveis?</x:v>
      </x:c>
      <x:c r="C11" s="32" t="str"/>
      <x:c r="D11" s="32" t="str"/>
      <x:c r="E11" s="32" t="str"/>
      <x:c r="F11" s="32" t="str"/>
    </x:row>
    <x:row r="12">
      <x:c r="A12" s="32" t="str">
        <x:v>3</x:v>
      </x:c>
      <x:c r="B12" s="32" t="str">
        <x:v>Quais informações ainda estão pendentes?</x:v>
      </x:c>
      <x:c r="C12" s="32" t="str"/>
      <x:c r="D12" s="32" t="str"/>
      <x:c r="E12" s="32" t="str"/>
      <x:c r="F12" s="32" t="str"/>
    </x:row>
    <x:row r="13">
      <x:c r="A13" s="32" t="str">
        <x:v>4</x:v>
      </x:c>
      <x:c r="B13" s="32" t="str">
        <x:v>Quais achados impactam o conceito?</x:v>
      </x:c>
      <x:c r="C13" s="32" t="str"/>
      <x:c r="D13" s="32" t="str"/>
      <x:c r="E13" s="32" t="str"/>
      <x:c r="F13" s="32" t="str"/>
    </x:row>
    <x:row r="14">
      <x:c r="A14" s="32" t="str">
        <x:v>5</x:v>
      </x:c>
      <x:c r="B14" s="32" t="str">
        <x:v>Quais incertezas devem seguir para o próximo Gate?</x:v>
      </x:c>
      <x:c r="C14" s="32" t="str"/>
      <x:c r="D14" s="32" t="str"/>
      <x:c r="E14" s="32" t="str"/>
      <x:c r="F14" s="32" t="str"/>
    </x:row>
    <x:row r="15">
      <x:c r="A15" s="32"/>
      <x:c r="B15" s="32"/>
      <x:c r="C15" s="32"/>
      <x:c r="D15" s="32"/>
      <x:c r="E15" s="32"/>
      <x:c r="F15" s="32"/>
    </x:row>
    <x:row r="16">
      <x:c r="A16" s="32"/>
      <x:c r="B16" s="32"/>
      <x:c r="C16" s="32"/>
      <x:c r="D16" s="32"/>
      <x:c r="E16" s="32"/>
      <x:c r="F16" s="32"/>
    </x:row>
    <x:row r="17">
      <x:c r="A17" s="32"/>
      <x:c r="B17" s="32"/>
      <x:c r="C17" s="32"/>
      <x:c r="D17" s="32"/>
      <x:c r="E17" s="32"/>
      <x:c r="F17" s="32"/>
    </x:row>
    <x:row r="18">
      <x:c r="A18" s="32"/>
      <x:c r="B18" s="32"/>
      <x:c r="C18" s="32"/>
      <x:c r="D18" s="32"/>
      <x:c r="E18" s="32"/>
      <x:c r="F18" s="32"/>
    </x:row>
    <x:row r="19">
      <x:c r="A19" s="32"/>
      <x:c r="B19" s="32"/>
      <x:c r="C19" s="32"/>
      <x:c r="D19" s="32"/>
      <x:c r="E19" s="32"/>
      <x:c r="F19" s="32"/>
    </x:row>
    <x:row r="20">
      <x:c r="A20" s="32"/>
      <x:c r="B20" s="32"/>
      <x:c r="C20" s="32"/>
      <x:c r="D20" s="32"/>
      <x:c r="E20" s="32"/>
      <x:c r="F20" s="32"/>
    </x:row>
  </x:sheetData>
  <x:mergeCells>
    <x:mergeCell ref="A1:H1"/>
    <x:mergeCell ref="A2:H2"/>
    <x:mergeCell ref="A8:F8"/>
  </x:mergeCells>
  <x:dataValidations count="2">
    <x:dataValidation type="list" sqref="H5">
      <x:formula1>"Não iniciado,Em preenchimento,Em revisão,Concluído"</x:formula1>
    </x:dataValidation>
    <x:dataValidation type="list" sqref="F10:F20">
      <x:formula1>"Não iniciado,Em preenchimento,Concluído,N/A"</x:formula1>
    </x:dataValidation>
  </x:dataValidations>
  <x:pageMargins left="0.7" right="0.7" top="0.75" bottom="0.75" header="0.3" footer="0.3"/>
</x:worksheet>
</file>

<file path=xl/worksheets/sheet67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44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8" hidden="0" customWidth="1"/>
    <x:col min="9" max="9" width="34" hidden="0" customWidth="1"/>
    <x:col min="10" max="10" width="14" hidden="0" customWidth="1"/>
    <x:col min="11" max="11" width="18" hidden="0" customWidth="1"/>
    <x:col min="12" max="12" width="18" hidden="0" customWidth="1"/>
  </x:cols>
  <x:sheetData>
    <x:row r="1">
      <x:c r="A1" s="4" t="str">
        <x:v>Matriz necessidade × conceito</x:v>
      </x:c>
      <x:c r="B1" s="4"/>
      <x:c r="C1" s="4"/>
      <x:c r="D1" s="4"/>
      <x:c r="E1" s="4"/>
      <x:c r="F1" s="4"/>
      <x:c r="G1" s="4"/>
      <x:c r="H1" s="4"/>
      <x:c r="I1" s="4"/>
      <x:c r="J1" s="4"/>
    </x:row>
    <x:row r="2">
      <x:c r="A2" s="11" t="str">
        <x:v>Ferramenta do ciclo de idealização até conceito aprovado. Preencha somente quando aplicável ao produto.</x:v>
      </x:c>
      <x:c r="B2" s="11"/>
      <x:c r="C2" s="11"/>
      <x:c r="D2" s="11"/>
      <x:c r="E2" s="11"/>
      <x:c r="F2" s="11"/>
      <x:c r="G2" s="11"/>
      <x:c r="H2" s="11"/>
      <x:c r="I2" s="11"/>
      <x:c r="J2" s="11"/>
    </x:row>
    <x:row r="3">
      <x:c r="A3" s="58" t="str">
        <x:v>Código</x:v>
      </x:c>
      <x:c r="B3" s="32" t="str">
        <x:v>G4_NEC_CONC</x:v>
      </x:c>
      <x:c r="C3" s="32" t="str"/>
      <x:c r="D3" s="58" t="str">
        <x:v>Gate</x:v>
      </x:c>
      <x:c r="E3" s="32" t="str">
        <x:v>Gate 4 — Seleção e Teste</x:v>
      </x:c>
      <x:c r="F3" s="32" t="str"/>
      <x:c r="G3" s="58" t="str">
        <x:v>Tipo</x:v>
      </x:c>
      <x:c r="H3" s="32" t="str">
        <x:v>Seleção</x:v>
      </x:c>
    </x:row>
    <x:row r="4">
      <x:c r="A4" s="58" t="str">
        <x:v>Propósito</x:v>
      </x:c>
      <x:c r="B4" s="32" t="str">
        <x:v>Ver aderência às necessidades priorizadas</x:v>
      </x:c>
      <x:c r="C4" s="32" t="str"/>
      <x:c r="D4" s="58" t="str">
        <x:v>Quando usar</x:v>
      </x:c>
      <x:c r="E4" s="32" t="str">
        <x:v>Conforme pacote inteligente / Mapa_Selecao</x:v>
      </x:c>
      <x:c r="F4" s="32" t="str"/>
      <x:c r="G4" s="58" t="str">
        <x:v>Observações</x:v>
      </x:c>
      <x:c r="H4" s="32" t="str">
        <x:v>Não substitui projeto detalhado; registra hipóteses, alertas e incertezas.</x:v>
      </x:c>
    </x:row>
    <x:row r="5">
      <x:c r="A5" s="58" t="str">
        <x:v>Produto</x:v>
      </x:c>
      <x:c r="B5" s="32" t="str">
        <x:f>IF(Dashboard!B4="","",Dashboard!B4)</x:f>
      </x:c>
      <x:c r="C5" s="32" t="str"/>
      <x:c r="D5" s="58" t="str">
        <x:v>Responsável</x:v>
      </x:c>
      <x:c r="E5" s="32" t="str">
        <x:f>IF(Dashboard!B6="","",Dashboard!B6)</x:f>
      </x:c>
      <x:c r="F5" s="32" t="str"/>
      <x:c r="G5" s="58" t="str">
        <x:v>Status</x:v>
      </x:c>
      <x:c r="H5" s="32" t="str"/>
    </x:row>
    <x:row r="6">
      <x:c r="A6" s="61" t="e">
        <x:f>HYPERLINK("#'Dashboard'!A1","← Dashboard")</x:f>
      </x:c>
      <x:c r="B6" s="61" t="e">
        <x:f>HYPERLINK("#'Indice'!A1","Índice")</x:f>
      </x:c>
      <x:c r="C6" s="61" t="e">
        <x:f>HYPERLINK("#'Mapa_Selecao'!A1","Mapa de seleção")</x:f>
      </x:c>
    </x:row>
    <x:row r="8">
      <x:c r="A8" s="66" t="str">
        <x:v>Matriz necessidade × conceito</x:v>
      </x:c>
      <x:c r="B8" s="66" t="str"/>
      <x:c r="C8" s="66" t="str"/>
      <x:c r="D8" s="66" t="str"/>
      <x:c r="E8" s="66" t="str"/>
      <x:c r="F8" s="66" t="str"/>
      <x:c r="G8" s="66" t="str"/>
      <x:c r="H8" s="66" t="str"/>
      <x:c r="I8" s="66" t="str"/>
      <x:c r="J8" s="66" t="str"/>
    </x:row>
    <x:row r="9">
      <x:c r="A9" s="20" t="str">
        <x:v>ID</x:v>
      </x:c>
      <x:c r="B9" s="20" t="str">
        <x:v>Necessidade</x:v>
      </x:c>
      <x:c r="C9" s="20" t="str">
        <x:v>Importância</x:v>
      </x:c>
      <x:c r="D9" s="20" t="str">
        <x:v>Conceito A</x:v>
      </x:c>
      <x:c r="E9" s="20" t="str">
        <x:v>Conceito B</x:v>
      </x:c>
      <x:c r="F9" s="20" t="str">
        <x:v>Conceito C</x:v>
      </x:c>
      <x:c r="G9" s="20" t="str">
        <x:v>Conceito D</x:v>
      </x:c>
      <x:c r="H9" s="20" t="str">
        <x:v>Melhor conceito</x:v>
      </x:c>
      <x:c r="I9" s="20" t="str">
        <x:v>Observação</x:v>
      </x:c>
      <x:c r="J9" s="20" t="str">
        <x:v>Pontuação</x:v>
      </x:c>
    </x:row>
    <x:row r="10">
      <x:c r="A10" t="str">
        <x:f>IF('G2_NECESS'!A10="","",'G2_NECESS'!A10)</x:f>
        <x:v>N01</x:v>
      </x:c>
      <x:c r="B10" t="str">
        <x:f>IF('G2_NECESS'!B10="","",'G2_NECESS'!B10)</x:f>
      </x:c>
      <x:c r="C10" t="str">
        <x:f>IF('G2_PRIOR'!F10="","",'G2_PRIOR'!F10)</x:f>
      </x:c>
      <x:c r="D10" t="str"/>
      <x:c r="E10" t="str"/>
      <x:c r="F10" t="str"/>
      <x:c r="G10" t="str"/>
      <x:c r="H10" t="str"/>
      <x:c r="I10" t="str"/>
      <x:c r="J10" t="n">
        <x:f>IFERROR(MAX(D10:G10),"")</x:f>
        <x:v>0</x:v>
      </x:c>
    </x:row>
    <x:row r="11">
      <x:c r="A11" t="str">
        <x:f>IF('G2_NECESS'!A11="","",'G2_NECESS'!A11)</x:f>
        <x:v>N02</x:v>
      </x:c>
      <x:c r="B11" t="str">
        <x:f>IF('G2_NECESS'!B11="","",'G2_NECESS'!B11)</x:f>
      </x:c>
      <x:c r="C11" t="str">
        <x:f>IF('G2_PRIOR'!F11="","",'G2_PRIOR'!F11)</x:f>
      </x:c>
      <x:c r="D11" t="str"/>
      <x:c r="E11" t="str"/>
      <x:c r="F11" t="str"/>
      <x:c r="G11" t="str"/>
      <x:c r="H11" t="str"/>
      <x:c r="I11" t="str"/>
      <x:c r="J11" t="n">
        <x:f>IFERROR(MAX(D11:G11),"")</x:f>
        <x:v>0</x:v>
      </x:c>
    </x:row>
    <x:row r="12">
      <x:c r="A12" t="str">
        <x:f>IF('G2_NECESS'!A12="","",'G2_NECESS'!A12)</x:f>
        <x:v>N03</x:v>
      </x:c>
      <x:c r="B12" t="str">
        <x:f>IF('G2_NECESS'!B12="","",'G2_NECESS'!B12)</x:f>
      </x:c>
      <x:c r="C12" t="str">
        <x:f>IF('G2_PRIOR'!F12="","",'G2_PRIOR'!F12)</x:f>
      </x:c>
      <x:c r="D12" t="str"/>
      <x:c r="E12" t="str"/>
      <x:c r="F12" t="str"/>
      <x:c r="G12" t="str"/>
      <x:c r="H12" t="str"/>
      <x:c r="I12" t="str"/>
      <x:c r="J12" t="n">
        <x:f>IFERROR(MAX(D12:G12),"")</x:f>
        <x:v>0</x:v>
      </x:c>
    </x:row>
    <x:row r="13">
      <x:c r="A13" t="str">
        <x:f>IF('G2_NECESS'!A13="","",'G2_NECESS'!A13)</x:f>
        <x:v>N04</x:v>
      </x:c>
      <x:c r="B13" t="str">
        <x:f>IF('G2_NECESS'!B13="","",'G2_NECESS'!B13)</x:f>
      </x:c>
      <x:c r="C13" t="str">
        <x:f>IF('G2_PRIOR'!F13="","",'G2_PRIOR'!F13)</x:f>
      </x:c>
      <x:c r="D13" t="str"/>
      <x:c r="E13" t="str"/>
      <x:c r="F13" t="str"/>
      <x:c r="G13" t="str"/>
      <x:c r="H13" t="str"/>
      <x:c r="I13" t="str"/>
      <x:c r="J13" t="n">
        <x:f>IFERROR(MAX(D13:G13),"")</x:f>
        <x:v>0</x:v>
      </x:c>
    </x:row>
    <x:row r="14">
      <x:c r="A14" t="str">
        <x:f>IF('G2_NECESS'!A14="","",'G2_NECESS'!A14)</x:f>
        <x:v>N05</x:v>
      </x:c>
      <x:c r="B14" t="str">
        <x:f>IF('G2_NECESS'!B14="","",'G2_NECESS'!B14)</x:f>
      </x:c>
      <x:c r="C14" t="str">
        <x:f>IF('G2_PRIOR'!F14="","",'G2_PRIOR'!F14)</x:f>
      </x:c>
      <x:c r="D14" t="str"/>
      <x:c r="E14" t="str"/>
      <x:c r="F14" t="str"/>
      <x:c r="G14" t="str"/>
      <x:c r="H14" t="str"/>
      <x:c r="I14" t="str"/>
      <x:c r="J14" t="n">
        <x:f>IFERROR(MAX(D14:G14),"")</x:f>
        <x:v>0</x:v>
      </x:c>
    </x:row>
    <x:row r="15">
      <x:c r="A15" t="str">
        <x:f>IF('G2_NECESS'!A15="","",'G2_NECESS'!A15)</x:f>
        <x:v>N06</x:v>
      </x:c>
      <x:c r="B15" t="str">
        <x:f>IF('G2_NECESS'!B15="","",'G2_NECESS'!B15)</x:f>
      </x:c>
      <x:c r="C15" t="str">
        <x:f>IF('G2_PRIOR'!F15="","",'G2_PRIOR'!F15)</x:f>
      </x:c>
      <x:c r="D15" t="str"/>
      <x:c r="E15" t="str"/>
      <x:c r="F15" t="str"/>
      <x:c r="G15" t="str"/>
      <x:c r="H15" t="str"/>
      <x:c r="I15" t="str"/>
      <x:c r="J15" t="n">
        <x:f>IFERROR(MAX(D15:G15),"")</x:f>
        <x:v>0</x:v>
      </x:c>
    </x:row>
    <x:row r="16">
      <x:c r="A16" t="str">
        <x:f>IF('G2_NECESS'!A16="","",'G2_NECESS'!A16)</x:f>
        <x:v>N07</x:v>
      </x:c>
      <x:c r="B16" t="str">
        <x:f>IF('G2_NECESS'!B16="","",'G2_NECESS'!B16)</x:f>
      </x:c>
      <x:c r="C16" t="str">
        <x:f>IF('G2_PRIOR'!F16="","",'G2_PRIOR'!F16)</x:f>
      </x:c>
      <x:c r="D16" t="str"/>
      <x:c r="E16" t="str"/>
      <x:c r="F16" t="str"/>
      <x:c r="G16" t="str"/>
      <x:c r="H16" t="str"/>
      <x:c r="I16" t="str"/>
      <x:c r="J16" t="n">
        <x:f>IFERROR(MAX(D16:G16),"")</x:f>
        <x:v>0</x:v>
      </x:c>
    </x:row>
    <x:row r="17">
      <x:c r="A17" t="str">
        <x:f>IF('G2_NECESS'!A17="","",'G2_NECESS'!A17)</x:f>
        <x:v>N08</x:v>
      </x:c>
      <x:c r="B17" t="str">
        <x:f>IF('G2_NECESS'!B17="","",'G2_NECESS'!B17)</x:f>
      </x:c>
      <x:c r="C17" t="str">
        <x:f>IF('G2_PRIOR'!F17="","",'G2_PRIOR'!F17)</x:f>
      </x:c>
      <x:c r="D17" t="str"/>
      <x:c r="E17" t="str"/>
      <x:c r="F17" t="str"/>
      <x:c r="G17" t="str"/>
      <x:c r="H17" t="str"/>
      <x:c r="I17" t="str"/>
      <x:c r="J17" t="n">
        <x:f>IFERROR(MAX(D17:G17),"")</x:f>
        <x:v>0</x:v>
      </x:c>
    </x:row>
    <x:row r="18">
      <x:c r="A18" t="str">
        <x:f>IF('G2_NECESS'!A18="","",'G2_NECESS'!A18)</x:f>
        <x:v>N09</x:v>
      </x:c>
      <x:c r="B18" t="str">
        <x:f>IF('G2_NECESS'!B18="","",'G2_NECESS'!B18)</x:f>
      </x:c>
      <x:c r="C18" t="str">
        <x:f>IF('G2_PRIOR'!F18="","",'G2_PRIOR'!F18)</x:f>
      </x:c>
      <x:c r="D18" t="str"/>
      <x:c r="E18" t="str"/>
      <x:c r="F18" t="str"/>
      <x:c r="G18" t="str"/>
      <x:c r="H18" t="str"/>
      <x:c r="I18" t="str"/>
      <x:c r="J18" t="n">
        <x:f>IFERROR(MAX(D18:G18),"")</x:f>
        <x:v>0</x:v>
      </x:c>
    </x:row>
    <x:row r="19">
      <x:c r="A19" t="str">
        <x:f>IF('G2_NECESS'!A19="","",'G2_NECESS'!A19)</x:f>
        <x:v>N10</x:v>
      </x:c>
      <x:c r="B19" t="str">
        <x:f>IF('G2_NECESS'!B19="","",'G2_NECESS'!B19)</x:f>
      </x:c>
      <x:c r="C19" t="str">
        <x:f>IF('G2_PRIOR'!F19="","",'G2_PRIOR'!F19)</x:f>
      </x:c>
      <x:c r="D19" t="str"/>
      <x:c r="E19" t="str"/>
      <x:c r="F19" t="str"/>
      <x:c r="G19" t="str"/>
      <x:c r="H19" t="str"/>
      <x:c r="I19" t="str"/>
      <x:c r="J19" t="n">
        <x:f>IFERROR(MAX(D19:G19),"")</x:f>
        <x:v>0</x:v>
      </x:c>
    </x:row>
    <x:row r="20">
      <x:c r="A20" t="str">
        <x:f>IF('G2_NECESS'!A20="","",'G2_NECESS'!A20)</x:f>
        <x:v>N11</x:v>
      </x:c>
      <x:c r="B20" t="str">
        <x:f>IF('G2_NECESS'!B20="","",'G2_NECESS'!B20)</x:f>
      </x:c>
      <x:c r="C20" t="str">
        <x:f>IF('G2_PRIOR'!F20="","",'G2_PRIOR'!F20)</x:f>
      </x:c>
      <x:c r="D20" t="str"/>
      <x:c r="E20" t="str"/>
      <x:c r="F20" t="str"/>
      <x:c r="G20" t="str"/>
      <x:c r="H20" t="str"/>
      <x:c r="I20" t="str"/>
      <x:c r="J20" t="n">
        <x:f>IFERROR(MAX(D20:G20),"")</x:f>
        <x:v>0</x:v>
      </x:c>
    </x:row>
    <x:row r="21">
      <x:c r="A21" t="str">
        <x:f>IF('G2_NECESS'!A21="","",'G2_NECESS'!A21)</x:f>
        <x:v>N12</x:v>
      </x:c>
      <x:c r="B21" t="str">
        <x:f>IF('G2_NECESS'!B21="","",'G2_NECESS'!B21)</x:f>
      </x:c>
      <x:c r="C21" t="str">
        <x:f>IF('G2_PRIOR'!F21="","",'G2_PRIOR'!F21)</x:f>
      </x:c>
      <x:c r="D21" t="str"/>
      <x:c r="E21" t="str"/>
      <x:c r="F21" t="str"/>
      <x:c r="G21" t="str"/>
      <x:c r="H21" t="str"/>
      <x:c r="I21" t="str"/>
      <x:c r="J21" t="n">
        <x:f>IFERROR(MAX(D21:G21),"")</x:f>
        <x:v>0</x:v>
      </x:c>
    </x:row>
    <x:row r="22">
      <x:c r="A22" t="str">
        <x:f>IF('G2_NECESS'!A22="","",'G2_NECESS'!A22)</x:f>
        <x:v>N13</x:v>
      </x:c>
      <x:c r="B22" t="str">
        <x:f>IF('G2_NECESS'!B22="","",'G2_NECESS'!B22)</x:f>
      </x:c>
      <x:c r="C22" t="str">
        <x:f>IF('G2_PRIOR'!F22="","",'G2_PRIOR'!F22)</x:f>
      </x:c>
      <x:c r="D22" t="str"/>
      <x:c r="E22" t="str"/>
      <x:c r="F22" t="str"/>
      <x:c r="G22" t="str"/>
      <x:c r="H22" t="str"/>
      <x:c r="I22" t="str"/>
      <x:c r="J22" t="n">
        <x:f>IFERROR(MAX(D22:G22),"")</x:f>
        <x:v>0</x:v>
      </x:c>
    </x:row>
    <x:row r="23">
      <x:c r="A23" t="str">
        <x:f>IF('G2_NECESS'!A23="","",'G2_NECESS'!A23)</x:f>
        <x:v>N14</x:v>
      </x:c>
      <x:c r="B23" t="str">
        <x:f>IF('G2_NECESS'!B23="","",'G2_NECESS'!B23)</x:f>
      </x:c>
      <x:c r="C23" t="str">
        <x:f>IF('G2_PRIOR'!F23="","",'G2_PRIOR'!F23)</x:f>
      </x:c>
      <x:c r="D23" t="str"/>
      <x:c r="E23" t="str"/>
      <x:c r="F23" t="str"/>
      <x:c r="G23" t="str"/>
      <x:c r="H23" t="str"/>
      <x:c r="I23" t="str"/>
      <x:c r="J23" t="n">
        <x:f>IFERROR(MAX(D23:G23),"")</x:f>
        <x:v>0</x:v>
      </x:c>
    </x:row>
    <x:row r="24">
      <x:c r="A24" t="str">
        <x:f>IF('G2_NECESS'!A24="","",'G2_NECESS'!A24)</x:f>
        <x:v>N15</x:v>
      </x:c>
      <x:c r="B24" t="str">
        <x:f>IF('G2_NECESS'!B24="","",'G2_NECESS'!B24)</x:f>
      </x:c>
      <x:c r="C24" t="str">
        <x:f>IF('G2_PRIOR'!F24="","",'G2_PRIOR'!F24)</x:f>
      </x:c>
      <x:c r="D24" t="str"/>
      <x:c r="E24" t="str"/>
      <x:c r="F24" t="str"/>
      <x:c r="G24" t="str"/>
      <x:c r="H24" t="str"/>
      <x:c r="I24" t="str"/>
      <x:c r="J24" t="n">
        <x:f>IFERROR(MAX(D24:G24),"")</x:f>
        <x:v>0</x:v>
      </x:c>
    </x:row>
  </x:sheetData>
  <x:mergeCells>
    <x:mergeCell ref="A1:J1"/>
    <x:mergeCell ref="A2:J2"/>
    <x:mergeCell ref="A8:J8"/>
  </x:mergeCells>
  <x:dataValidations count="2">
    <x:dataValidation type="list" sqref="H5">
      <x:formula1>"Não iniciado,Em preenchimento,Em revisão,Concluído"</x:formula1>
    </x:dataValidation>
    <x:dataValidation type="list" sqref="D10:G24">
      <x:formula1>"0,1,2,3,4,5"</x:formula1>
    </x:dataValidation>
  </x:dataValidations>
  <x:pageMargins left="0.7" right="0.7" top="0.75" bottom="0.75" header="0.3" footer="0.3"/>
</x:worksheet>
</file>

<file path=xl/worksheets/sheet68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44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8" hidden="0" customWidth="1"/>
    <x:col min="9" max="9" width="34" hidden="0" customWidth="1"/>
    <x:col min="10" max="10" width="14" hidden="0" customWidth="1"/>
    <x:col min="11" max="11" width="18" hidden="0" customWidth="1"/>
    <x:col min="12" max="12" width="18" hidden="0" customWidth="1"/>
  </x:cols>
  <x:sheetData>
    <x:row r="1">
      <x:c r="A1" s="4" t="str">
        <x:v>Matriz CTQ × conceito</x:v>
      </x:c>
      <x:c r="B1" s="4"/>
      <x:c r="C1" s="4"/>
      <x:c r="D1" s="4"/>
      <x:c r="E1" s="4"/>
      <x:c r="F1" s="4"/>
      <x:c r="G1" s="4"/>
      <x:c r="H1" s="4"/>
      <x:c r="I1" s="4"/>
      <x:c r="J1" s="4"/>
    </x:row>
    <x:row r="2">
      <x:c r="A2" s="11" t="str">
        <x:v>Ferramenta do ciclo de idealização até conceito aprovado. Preencha somente quando aplicável ao produto.</x:v>
      </x:c>
      <x:c r="B2" s="11"/>
      <x:c r="C2" s="11"/>
      <x:c r="D2" s="11"/>
      <x:c r="E2" s="11"/>
      <x:c r="F2" s="11"/>
      <x:c r="G2" s="11"/>
      <x:c r="H2" s="11"/>
      <x:c r="I2" s="11"/>
      <x:c r="J2" s="11"/>
    </x:row>
    <x:row r="3">
      <x:c r="A3" s="58" t="str">
        <x:v>Código</x:v>
      </x:c>
      <x:c r="B3" s="32" t="str">
        <x:v>G4_CTQ_CONC</x:v>
      </x:c>
      <x:c r="C3" s="32" t="str"/>
      <x:c r="D3" s="58" t="str">
        <x:v>Gate</x:v>
      </x:c>
      <x:c r="E3" s="32" t="str">
        <x:v>Gate 4 — Seleção e Teste</x:v>
      </x:c>
      <x:c r="F3" s="32" t="str"/>
      <x:c r="G3" s="58" t="str">
        <x:v>Tipo</x:v>
      </x:c>
      <x:c r="H3" s="32" t="str">
        <x:v>Seleção</x:v>
      </x:c>
    </x:row>
    <x:row r="4">
      <x:c r="A4" s="58" t="str">
        <x:v>Propósito</x:v>
      </x:c>
      <x:c r="B4" s="32" t="str">
        <x:v>Ver aderência aos atributos críticos</x:v>
      </x:c>
      <x:c r="C4" s="32" t="str"/>
      <x:c r="D4" s="58" t="str">
        <x:v>Quando usar</x:v>
      </x:c>
      <x:c r="E4" s="32" t="str">
        <x:v>Conforme pacote inteligente / Mapa_Selecao</x:v>
      </x:c>
      <x:c r="F4" s="32" t="str"/>
      <x:c r="G4" s="58" t="str">
        <x:v>Observações</x:v>
      </x:c>
      <x:c r="H4" s="32" t="str">
        <x:v>Não substitui projeto detalhado; registra hipóteses, alertas e incertezas.</x:v>
      </x:c>
    </x:row>
    <x:row r="5">
      <x:c r="A5" s="58" t="str">
        <x:v>Produto</x:v>
      </x:c>
      <x:c r="B5" s="32" t="str">
        <x:f>IF(Dashboard!B4="","",Dashboard!B4)</x:f>
      </x:c>
      <x:c r="C5" s="32" t="str"/>
      <x:c r="D5" s="58" t="str">
        <x:v>Responsável</x:v>
      </x:c>
      <x:c r="E5" s="32" t="str">
        <x:f>IF(Dashboard!B6="","",Dashboard!B6)</x:f>
      </x:c>
      <x:c r="F5" s="32" t="str"/>
      <x:c r="G5" s="58" t="str">
        <x:v>Status</x:v>
      </x:c>
      <x:c r="H5" s="32" t="str"/>
    </x:row>
    <x:row r="6">
      <x:c r="A6" s="61" t="e">
        <x:f>HYPERLINK("#'Dashboard'!A1","← Dashboard")</x:f>
      </x:c>
      <x:c r="B6" s="61" t="e">
        <x:f>HYPERLINK("#'Indice'!A1","Índice")</x:f>
      </x:c>
      <x:c r="C6" s="61" t="e">
        <x:f>HYPERLINK("#'Mapa_Selecao'!A1","Mapa de seleção")</x:f>
      </x:c>
    </x:row>
    <x:row r="8">
      <x:c r="A8" s="66" t="str">
        <x:v>Matriz CTQ × conceito</x:v>
      </x:c>
      <x:c r="B8" s="66" t="str"/>
      <x:c r="C8" s="66" t="str"/>
      <x:c r="D8" s="66" t="str"/>
      <x:c r="E8" s="66" t="str"/>
      <x:c r="F8" s="66" t="str"/>
      <x:c r="G8" s="66" t="str"/>
      <x:c r="H8" s="66" t="str"/>
      <x:c r="I8" s="66" t="str"/>
      <x:c r="J8" s="66" t="str"/>
    </x:row>
    <x:row r="9">
      <x:c r="A9" s="20" t="str">
        <x:v>Necessidade/CTQ</x:v>
      </x:c>
      <x:c r="B9" s="20" t="str">
        <x:v>CTQ / atributo</x:v>
      </x:c>
      <x:c r="C9" s="20" t="str">
        <x:v>Prioridade</x:v>
      </x:c>
      <x:c r="D9" s="20" t="str">
        <x:v>Conceito A</x:v>
      </x:c>
      <x:c r="E9" s="20" t="str">
        <x:v>Conceito B</x:v>
      </x:c>
      <x:c r="F9" s="20" t="str">
        <x:v>Conceito C</x:v>
      </x:c>
      <x:c r="G9" s="20" t="str">
        <x:v>Conceito D</x:v>
      </x:c>
      <x:c r="H9" s="20" t="str">
        <x:v>Melhor conceito</x:v>
      </x:c>
      <x:c r="I9" s="20" t="str">
        <x:v>Observação</x:v>
      </x:c>
      <x:c r="J9" s="20" t="str">
        <x:v>Pontuação</x:v>
      </x:c>
    </x:row>
    <x:row r="10">
      <x:c r="A10" t="str">
        <x:f>IF('G2_CTQ'!A10="","",'G2_CTQ'!A10)</x:f>
      </x:c>
      <x:c r="B10" t="str">
        <x:f>IF('G2_CTQ'!B10="","",'G2_CTQ'!B10)</x:f>
      </x:c>
      <x:c r="C10" t="str">
        <x:f>IF('G2_CTQ'!D10="","",'G2_CTQ'!D10)</x:f>
      </x:c>
      <x:c r="D10" t="str"/>
      <x:c r="E10" t="str"/>
      <x:c r="F10" t="str"/>
      <x:c r="G10" t="str"/>
      <x:c r="H10" t="str"/>
      <x:c r="I10" t="str"/>
      <x:c r="J10" t="n">
        <x:f>IFERROR(MAX(D10:G10),"")</x:f>
        <x:v>0</x:v>
      </x:c>
    </x:row>
    <x:row r="11">
      <x:c r="A11" t="str">
        <x:f>IF('G2_CTQ'!A11="","",'G2_CTQ'!A11)</x:f>
      </x:c>
      <x:c r="B11" t="str">
        <x:f>IF('G2_CTQ'!B11="","",'G2_CTQ'!B11)</x:f>
      </x:c>
      <x:c r="C11" t="str">
        <x:f>IF('G2_CTQ'!D11="","",'G2_CTQ'!D11)</x:f>
      </x:c>
      <x:c r="D11" t="str"/>
      <x:c r="E11" t="str"/>
      <x:c r="F11" t="str"/>
      <x:c r="G11" t="str"/>
      <x:c r="H11" t="str"/>
      <x:c r="I11" t="str"/>
      <x:c r="J11" t="n">
        <x:f>IFERROR(MAX(D11:G11),"")</x:f>
        <x:v>0</x:v>
      </x:c>
    </x:row>
    <x:row r="12">
      <x:c r="A12" t="str">
        <x:f>IF('G2_CTQ'!A12="","",'G2_CTQ'!A12)</x:f>
      </x:c>
      <x:c r="B12" t="str">
        <x:f>IF('G2_CTQ'!B12="","",'G2_CTQ'!B12)</x:f>
      </x:c>
      <x:c r="C12" t="str">
        <x:f>IF('G2_CTQ'!D12="","",'G2_CTQ'!D12)</x:f>
      </x:c>
      <x:c r="D12" t="str"/>
      <x:c r="E12" t="str"/>
      <x:c r="F12" t="str"/>
      <x:c r="G12" t="str"/>
      <x:c r="H12" t="str"/>
      <x:c r="I12" t="str"/>
      <x:c r="J12" t="n">
        <x:f>IFERROR(MAX(D12:G12),"")</x:f>
        <x:v>0</x:v>
      </x:c>
    </x:row>
    <x:row r="13">
      <x:c r="A13" t="str">
        <x:f>IF('G2_CTQ'!A13="","",'G2_CTQ'!A13)</x:f>
      </x:c>
      <x:c r="B13" t="str">
        <x:f>IF('G2_CTQ'!B13="","",'G2_CTQ'!B13)</x:f>
      </x:c>
      <x:c r="C13" t="str">
        <x:f>IF('G2_CTQ'!D13="","",'G2_CTQ'!D13)</x:f>
      </x:c>
      <x:c r="D13" t="str"/>
      <x:c r="E13" t="str"/>
      <x:c r="F13" t="str"/>
      <x:c r="G13" t="str"/>
      <x:c r="H13" t="str"/>
      <x:c r="I13" t="str"/>
      <x:c r="J13" t="n">
        <x:f>IFERROR(MAX(D13:G13),"")</x:f>
        <x:v>0</x:v>
      </x:c>
    </x:row>
    <x:row r="14">
      <x:c r="A14" t="str">
        <x:f>IF('G2_CTQ'!A14="","",'G2_CTQ'!A14)</x:f>
      </x:c>
      <x:c r="B14" t="str">
        <x:f>IF('G2_CTQ'!B14="","",'G2_CTQ'!B14)</x:f>
      </x:c>
      <x:c r="C14" t="str">
        <x:f>IF('G2_CTQ'!D14="","",'G2_CTQ'!D14)</x:f>
      </x:c>
      <x:c r="D14" t="str"/>
      <x:c r="E14" t="str"/>
      <x:c r="F14" t="str"/>
      <x:c r="G14" t="str"/>
      <x:c r="H14" t="str"/>
      <x:c r="I14" t="str"/>
      <x:c r="J14" t="n">
        <x:f>IFERROR(MAX(D14:G14),"")</x:f>
        <x:v>0</x:v>
      </x:c>
    </x:row>
    <x:row r="15">
      <x:c r="A15" t="str">
        <x:f>IF('G2_CTQ'!A15="","",'G2_CTQ'!A15)</x:f>
      </x:c>
      <x:c r="B15" t="str">
        <x:f>IF('G2_CTQ'!B15="","",'G2_CTQ'!B15)</x:f>
      </x:c>
      <x:c r="C15" t="str">
        <x:f>IF('G2_CTQ'!D15="","",'G2_CTQ'!D15)</x:f>
      </x:c>
      <x:c r="D15" t="str"/>
      <x:c r="E15" t="str"/>
      <x:c r="F15" t="str"/>
      <x:c r="G15" t="str"/>
      <x:c r="H15" t="str"/>
      <x:c r="I15" t="str"/>
      <x:c r="J15" t="n">
        <x:f>IFERROR(MAX(D15:G15),"")</x:f>
        <x:v>0</x:v>
      </x:c>
    </x:row>
    <x:row r="16">
      <x:c r="A16" t="str">
        <x:f>IF('G2_CTQ'!A16="","",'G2_CTQ'!A16)</x:f>
      </x:c>
      <x:c r="B16" t="str">
        <x:f>IF('G2_CTQ'!B16="","",'G2_CTQ'!B16)</x:f>
      </x:c>
      <x:c r="C16" t="str">
        <x:f>IF('G2_CTQ'!D16="","",'G2_CTQ'!D16)</x:f>
      </x:c>
      <x:c r="D16" t="str"/>
      <x:c r="E16" t="str"/>
      <x:c r="F16" t="str"/>
      <x:c r="G16" t="str"/>
      <x:c r="H16" t="str"/>
      <x:c r="I16" t="str"/>
      <x:c r="J16" t="n">
        <x:f>IFERROR(MAX(D16:G16),"")</x:f>
        <x:v>0</x:v>
      </x:c>
    </x:row>
    <x:row r="17">
      <x:c r="A17" t="str">
        <x:f>IF('G2_CTQ'!A17="","",'G2_CTQ'!A17)</x:f>
      </x:c>
      <x:c r="B17" t="str">
        <x:f>IF('G2_CTQ'!B17="","",'G2_CTQ'!B17)</x:f>
      </x:c>
      <x:c r="C17" t="str">
        <x:f>IF('G2_CTQ'!D17="","",'G2_CTQ'!D17)</x:f>
      </x:c>
      <x:c r="D17" t="str"/>
      <x:c r="E17" t="str"/>
      <x:c r="F17" t="str"/>
      <x:c r="G17" t="str"/>
      <x:c r="H17" t="str"/>
      <x:c r="I17" t="str"/>
      <x:c r="J17" t="n">
        <x:f>IFERROR(MAX(D17:G17),"")</x:f>
        <x:v>0</x:v>
      </x:c>
    </x:row>
    <x:row r="18">
      <x:c r="A18" t="str">
        <x:f>IF('G2_CTQ'!A18="","",'G2_CTQ'!A18)</x:f>
      </x:c>
      <x:c r="B18" t="str">
        <x:f>IF('G2_CTQ'!B18="","",'G2_CTQ'!B18)</x:f>
      </x:c>
      <x:c r="C18" t="str">
        <x:f>IF('G2_CTQ'!D18="","",'G2_CTQ'!D18)</x:f>
      </x:c>
      <x:c r="D18" t="str"/>
      <x:c r="E18" t="str"/>
      <x:c r="F18" t="str"/>
      <x:c r="G18" t="str"/>
      <x:c r="H18" t="str"/>
      <x:c r="I18" t="str"/>
      <x:c r="J18" t="n">
        <x:f>IFERROR(MAX(D18:G18),"")</x:f>
        <x:v>0</x:v>
      </x:c>
    </x:row>
    <x:row r="19">
      <x:c r="A19" t="str">
        <x:f>IF('G2_CTQ'!A19="","",'G2_CTQ'!A19)</x:f>
      </x:c>
      <x:c r="B19" t="str">
        <x:f>IF('G2_CTQ'!B19="","",'G2_CTQ'!B19)</x:f>
      </x:c>
      <x:c r="C19" t="str">
        <x:f>IF('G2_CTQ'!D19="","",'G2_CTQ'!D19)</x:f>
      </x:c>
      <x:c r="D19" t="str"/>
      <x:c r="E19" t="str"/>
      <x:c r="F19" t="str"/>
      <x:c r="G19" t="str"/>
      <x:c r="H19" t="str"/>
      <x:c r="I19" t="str"/>
      <x:c r="J19" t="n">
        <x:f>IFERROR(MAX(D19:G19),"")</x:f>
        <x:v>0</x:v>
      </x:c>
    </x:row>
    <x:row r="20">
      <x:c r="A20" t="str">
        <x:f>IF('G2_CTQ'!A20="","",'G2_CTQ'!A20)</x:f>
      </x:c>
      <x:c r="B20" t="str">
        <x:f>IF('G2_CTQ'!B20="","",'G2_CTQ'!B20)</x:f>
      </x:c>
      <x:c r="C20" t="str">
        <x:f>IF('G2_CTQ'!D20="","",'G2_CTQ'!D20)</x:f>
      </x:c>
      <x:c r="D20" t="str"/>
      <x:c r="E20" t="str"/>
      <x:c r="F20" t="str"/>
      <x:c r="G20" t="str"/>
      <x:c r="H20" t="str"/>
      <x:c r="I20" t="str"/>
      <x:c r="J20" t="n">
        <x:f>IFERROR(MAX(D20:G20),"")</x:f>
        <x:v>0</x:v>
      </x:c>
    </x:row>
    <x:row r="21">
      <x:c r="A21" t="str">
        <x:f>IF('G2_CTQ'!A21="","",'G2_CTQ'!A21)</x:f>
      </x:c>
      <x:c r="B21" t="str">
        <x:f>IF('G2_CTQ'!B21="","",'G2_CTQ'!B21)</x:f>
      </x:c>
      <x:c r="C21" t="str">
        <x:f>IF('G2_CTQ'!D21="","",'G2_CTQ'!D21)</x:f>
      </x:c>
      <x:c r="D21" t="str"/>
      <x:c r="E21" t="str"/>
      <x:c r="F21" t="str"/>
      <x:c r="G21" t="str"/>
      <x:c r="H21" t="str"/>
      <x:c r="I21" t="str"/>
      <x:c r="J21" t="n">
        <x:f>IFERROR(MAX(D21:G21),"")</x:f>
        <x:v>0</x:v>
      </x:c>
    </x:row>
    <x:row r="22">
      <x:c r="A22" t="str">
        <x:f>IF('G2_CTQ'!A22="","",'G2_CTQ'!A22)</x:f>
      </x:c>
      <x:c r="B22" t="str">
        <x:f>IF('G2_CTQ'!B22="","",'G2_CTQ'!B22)</x:f>
      </x:c>
      <x:c r="C22" t="str">
        <x:f>IF('G2_CTQ'!D22="","",'G2_CTQ'!D22)</x:f>
      </x:c>
      <x:c r="D22" t="str"/>
      <x:c r="E22" t="str"/>
      <x:c r="F22" t="str"/>
      <x:c r="G22" t="str"/>
      <x:c r="H22" t="str"/>
      <x:c r="I22" t="str"/>
      <x:c r="J22" t="n">
        <x:f>IFERROR(MAX(D22:G22),"")</x:f>
        <x:v>0</x:v>
      </x:c>
    </x:row>
    <x:row r="23">
      <x:c r="A23" t="str">
        <x:f>IF('G2_CTQ'!A23="","",'G2_CTQ'!A23)</x:f>
      </x:c>
      <x:c r="B23" t="str">
        <x:f>IF('G2_CTQ'!B23="","",'G2_CTQ'!B23)</x:f>
      </x:c>
      <x:c r="C23" t="str">
        <x:f>IF('G2_CTQ'!D23="","",'G2_CTQ'!D23)</x:f>
      </x:c>
      <x:c r="D23" t="str"/>
      <x:c r="E23" t="str"/>
      <x:c r="F23" t="str"/>
      <x:c r="G23" t="str"/>
      <x:c r="H23" t="str"/>
      <x:c r="I23" t="str"/>
      <x:c r="J23" t="n">
        <x:f>IFERROR(MAX(D23:G23),"")</x:f>
        <x:v>0</x:v>
      </x:c>
    </x:row>
    <x:row r="24">
      <x:c r="A24" t="str">
        <x:f>IF('G2_CTQ'!A24="","",'G2_CTQ'!A24)</x:f>
      </x:c>
      <x:c r="B24" t="str">
        <x:f>IF('G2_CTQ'!B24="","",'G2_CTQ'!B24)</x:f>
      </x:c>
      <x:c r="C24" t="str">
        <x:f>IF('G2_CTQ'!D24="","",'G2_CTQ'!D24)</x:f>
      </x:c>
      <x:c r="D24" t="str"/>
      <x:c r="E24" t="str"/>
      <x:c r="F24" t="str"/>
      <x:c r="G24" t="str"/>
      <x:c r="H24" t="str"/>
      <x:c r="I24" t="str"/>
      <x:c r="J24" t="n">
        <x:f>IFERROR(MAX(D24:G24),"")</x:f>
        <x:v>0</x:v>
      </x:c>
    </x:row>
  </x:sheetData>
  <x:mergeCells>
    <x:mergeCell ref="A1:J1"/>
    <x:mergeCell ref="A2:J2"/>
    <x:mergeCell ref="A8:J8"/>
  </x:mergeCells>
  <x:dataValidations count="2">
    <x:dataValidation type="list" sqref="H5">
      <x:formula1>"Não iniciado,Em preenchimento,Em revisão,Concluído"</x:formula1>
    </x:dataValidation>
    <x:dataValidation type="list" sqref="D10:G24">
      <x:formula1>"0,1,2,3,4,5"</x:formula1>
    </x:dataValidation>
  </x:dataValidations>
  <x:pageMargins left="0.7" right="0.7" top="0.75" bottom="0.75" header="0.3" footer="0.3"/>
</x:worksheet>
</file>

<file path=xl/worksheets/sheet69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38" hidden="0" customWidth="1"/>
    <x:col min="3" max="3" width="28" hidden="0" customWidth="1"/>
    <x:col min="4" max="4" width="42" hidden="0" customWidth="1"/>
    <x:col min="5" max="5" width="18" hidden="0" customWidth="1"/>
    <x:col min="6" max="6" width="16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</x:cols>
  <x:sheetData>
    <x:row r="1">
      <x:c r="A1" s="4" t="str">
        <x:v>Atratividade do conceito</x:v>
      </x:c>
      <x:c r="B1" s="4"/>
      <x:c r="C1" s="4"/>
      <x:c r="D1" s="4"/>
      <x:c r="E1" s="4"/>
      <x:c r="F1" s="4"/>
      <x:c r="G1" s="4"/>
      <x:c r="H1" s="4"/>
    </x:row>
    <x:row r="2">
      <x:c r="A2" s="11" t="str">
        <x:v>Ferramenta do ciclo de idealização até conceito aprovado. Preencha somente quando aplicável ao produto.</x:v>
      </x:c>
      <x:c r="B2" s="11"/>
      <x:c r="C2" s="11"/>
      <x:c r="D2" s="11"/>
      <x:c r="E2" s="11"/>
      <x:c r="F2" s="11"/>
      <x:c r="G2" s="11"/>
      <x:c r="H2" s="11"/>
    </x:row>
    <x:row r="3">
      <x:c r="A3" s="58" t="str">
        <x:v>Código</x:v>
      </x:c>
      <x:c r="B3" s="32" t="str">
        <x:v>G4_ATRAT</x:v>
      </x:c>
      <x:c r="C3" s="32" t="str"/>
      <x:c r="D3" s="58" t="str">
        <x:v>Gate</x:v>
      </x:c>
      <x:c r="E3" s="32" t="str">
        <x:v>Gate 4 — Seleção e Teste</x:v>
      </x:c>
      <x:c r="F3" s="32" t="str"/>
      <x:c r="G3" s="58" t="str">
        <x:v>Tipo</x:v>
      </x:c>
      <x:c r="H3" s="32" t="str">
        <x:v>Seleção</x:v>
      </x:c>
    </x:row>
    <x:row r="4">
      <x:c r="A4" s="58" t="str">
        <x:v>Propósito</x:v>
      </x:c>
      <x:c r="B4" s="32" t="str">
        <x:v>Avaliar valor percebido e adoção</x:v>
      </x:c>
      <x:c r="C4" s="32" t="str"/>
      <x:c r="D4" s="58" t="str">
        <x:v>Quando usar</x:v>
      </x:c>
      <x:c r="E4" s="32" t="str">
        <x:v>Conforme pacote inteligente / Mapa_Selecao</x:v>
      </x:c>
      <x:c r="F4" s="32" t="str"/>
      <x:c r="G4" s="58" t="str">
        <x:v>Observações</x:v>
      </x:c>
      <x:c r="H4" s="32" t="str">
        <x:v>Não substitui projeto detalhado; registra hipóteses, alertas e incertezas.</x:v>
      </x:c>
    </x:row>
    <x:row r="5">
      <x:c r="A5" s="58" t="str">
        <x:v>Produto</x:v>
      </x:c>
      <x:c r="B5" s="32" t="str">
        <x:f>IF(Dashboard!B4="","",Dashboard!B4)</x:f>
      </x:c>
      <x:c r="C5" s="32" t="str"/>
      <x:c r="D5" s="58" t="str">
        <x:v>Responsável</x:v>
      </x:c>
      <x:c r="E5" s="32" t="str">
        <x:f>IF(Dashboard!B6="","",Dashboard!B6)</x:f>
      </x:c>
      <x:c r="F5" s="32" t="str"/>
      <x:c r="G5" s="58" t="str">
        <x:v>Status</x:v>
      </x:c>
      <x:c r="H5" s="32" t="str"/>
    </x:row>
    <x:row r="6">
      <x:c r="A6" s="61" t="e">
        <x:f>HYPERLINK("#'Dashboard'!A1","← Dashboard")</x:f>
      </x:c>
      <x:c r="B6" s="61" t="e">
        <x:f>HYPERLINK("#'Indice'!A1","Índice")</x:f>
      </x:c>
      <x:c r="C6" s="61" t="e">
        <x:f>HYPERLINK("#'Mapa_Selecao'!A1","Mapa de seleção")</x:f>
      </x:c>
    </x:row>
    <x:row r="8">
      <x:c r="A8" s="66" t="str">
        <x:v>Formulário de aplicação da ferramenta</x:v>
      </x:c>
      <x:c r="B8" s="66"/>
      <x:c r="C8" s="66"/>
      <x:c r="D8" s="66"/>
      <x:c r="E8" s="66"/>
      <x:c r="F8" s="66"/>
    </x:row>
    <x:row r="9">
      <x:c r="A9" s="20" t="str">
        <x:v>Item</x:v>
      </x:c>
      <x:c r="B9" s="20" t="str">
        <x:v>Pergunta / campo</x:v>
      </x:c>
      <x:c r="C9" s="20" t="str">
        <x:v>Resposta</x:v>
      </x:c>
      <x:c r="D9" s="20" t="str">
        <x:v>Evidência / observação</x:v>
      </x:c>
      <x:c r="E9" s="20" t="str">
        <x:v>Responsável</x:v>
      </x:c>
      <x:c r="F9" s="20" t="str">
        <x:v>Status</x:v>
      </x:c>
    </x:row>
    <x:row r="10">
      <x:c r="A10" s="32" t="str">
        <x:v>1</x:v>
      </x:c>
      <x:c r="B10" s="32" t="str">
        <x:v>Qual é o objetivo desta ferramenta para este produto?</x:v>
      </x:c>
      <x:c r="C10" s="32" t="str"/>
      <x:c r="D10" s="32" t="str"/>
      <x:c r="E10" s="32" t="str"/>
      <x:c r="F10" s="32" t="str"/>
    </x:row>
    <x:row r="11">
      <x:c r="A11" s="32" t="str">
        <x:v>2</x:v>
      </x:c>
      <x:c r="B11" s="32" t="str">
        <x:v>Quais informações já estão disponíveis?</x:v>
      </x:c>
      <x:c r="C11" s="32" t="str"/>
      <x:c r="D11" s="32" t="str"/>
      <x:c r="E11" s="32" t="str"/>
      <x:c r="F11" s="32" t="str"/>
    </x:row>
    <x:row r="12">
      <x:c r="A12" s="32" t="str">
        <x:v>3</x:v>
      </x:c>
      <x:c r="B12" s="32" t="str">
        <x:v>Quais informações ainda estão pendentes?</x:v>
      </x:c>
      <x:c r="C12" s="32" t="str"/>
      <x:c r="D12" s="32" t="str"/>
      <x:c r="E12" s="32" t="str"/>
      <x:c r="F12" s="32" t="str"/>
    </x:row>
    <x:row r="13">
      <x:c r="A13" s="32" t="str">
        <x:v>4</x:v>
      </x:c>
      <x:c r="B13" s="32" t="str">
        <x:v>Quais achados impactam o conceito?</x:v>
      </x:c>
      <x:c r="C13" s="32" t="str"/>
      <x:c r="D13" s="32" t="str"/>
      <x:c r="E13" s="32" t="str"/>
      <x:c r="F13" s="32" t="str"/>
    </x:row>
    <x:row r="14">
      <x:c r="A14" s="32" t="str">
        <x:v>5</x:v>
      </x:c>
      <x:c r="B14" s="32" t="str">
        <x:v>Quais incertezas devem seguir para o próximo Gate?</x:v>
      </x:c>
      <x:c r="C14" s="32" t="str"/>
      <x:c r="D14" s="32" t="str"/>
      <x:c r="E14" s="32" t="str"/>
      <x:c r="F14" s="32" t="str"/>
    </x:row>
    <x:row r="15">
      <x:c r="A15" s="32"/>
      <x:c r="B15" s="32"/>
      <x:c r="C15" s="32"/>
      <x:c r="D15" s="32"/>
      <x:c r="E15" s="32"/>
      <x:c r="F15" s="32"/>
    </x:row>
    <x:row r="16">
      <x:c r="A16" s="32"/>
      <x:c r="B16" s="32"/>
      <x:c r="C16" s="32"/>
      <x:c r="D16" s="32"/>
      <x:c r="E16" s="32"/>
      <x:c r="F16" s="32"/>
    </x:row>
    <x:row r="17">
      <x:c r="A17" s="32"/>
      <x:c r="B17" s="32"/>
      <x:c r="C17" s="32"/>
      <x:c r="D17" s="32"/>
      <x:c r="E17" s="32"/>
      <x:c r="F17" s="32"/>
    </x:row>
    <x:row r="18">
      <x:c r="A18" s="32"/>
      <x:c r="B18" s="32"/>
      <x:c r="C18" s="32"/>
      <x:c r="D18" s="32"/>
      <x:c r="E18" s="32"/>
      <x:c r="F18" s="32"/>
    </x:row>
    <x:row r="19">
      <x:c r="A19" s="32"/>
      <x:c r="B19" s="32"/>
      <x:c r="C19" s="32"/>
      <x:c r="D19" s="32"/>
      <x:c r="E19" s="32"/>
      <x:c r="F19" s="32"/>
    </x:row>
    <x:row r="20">
      <x:c r="A20" s="32"/>
      <x:c r="B20" s="32"/>
      <x:c r="C20" s="32"/>
      <x:c r="D20" s="32"/>
      <x:c r="E20" s="32"/>
      <x:c r="F20" s="32"/>
    </x:row>
  </x:sheetData>
  <x:mergeCells>
    <x:mergeCell ref="A1:H1"/>
    <x:mergeCell ref="A2:H2"/>
    <x:mergeCell ref="A8:F8"/>
  </x:mergeCells>
  <x:dataValidations count="2">
    <x:dataValidation type="list" sqref="H5">
      <x:formula1>"Não iniciado,Em preenchimento,Em revisão,Concluído"</x:formula1>
    </x:dataValidation>
    <x:dataValidation type="list" sqref="F10:F20">
      <x:formula1>"Não iniciado,Em preenchimento,Concluído,N/A"</x:formula1>
    </x:dataValidation>
  </x:dataValidations>
  <x:pageMargins left="0.7" right="0.7" top="0.75" bottom="0.75" header="0.3" footer="0.3"/>
</x:worksheet>
</file>

<file path=xl/worksheets/sheet70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8" hidden="0" customWidth="1"/>
    <x:col min="3" max="3" width="36" hidden="0" customWidth="1"/>
    <x:col min="4" max="4" width="42" hidden="0" customWidth="1"/>
    <x:col min="5" max="5" width="14" hidden="0" customWidth="1"/>
    <x:col min="6" max="6" width="34" hidden="0" customWidth="1"/>
    <x:col min="7" max="7" width="34" hidden="0" customWidth="1"/>
    <x:col min="8" max="8" width="22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</x:cols>
  <x:sheetData>
    <x:row r="1">
      <x:c r="A1" s="4" t="str">
        <x:v>Teste de conceito preliminar</x:v>
      </x:c>
      <x:c r="B1" s="4"/>
      <x:c r="C1" s="4"/>
      <x:c r="D1" s="4"/>
      <x:c r="E1" s="4"/>
      <x:c r="F1" s="4"/>
      <x:c r="G1" s="4"/>
      <x:c r="H1" s="4"/>
    </x:row>
    <x:row r="2">
      <x:c r="A2" s="11" t="str">
        <x:v>Ferramenta do ciclo de idealização até conceito aprovado. Preencha somente quando aplicável ao produto.</x:v>
      </x:c>
      <x:c r="B2" s="11"/>
      <x:c r="C2" s="11"/>
      <x:c r="D2" s="11"/>
      <x:c r="E2" s="11"/>
      <x:c r="F2" s="11"/>
      <x:c r="G2" s="11"/>
      <x:c r="H2" s="11"/>
    </x:row>
    <x:row r="3">
      <x:c r="A3" s="58" t="str">
        <x:v>Código</x:v>
      </x:c>
      <x:c r="B3" s="32" t="str">
        <x:v>G4_TESTE</x:v>
      </x:c>
      <x:c r="C3" s="32" t="str"/>
      <x:c r="D3" s="58" t="str">
        <x:v>Gate</x:v>
      </x:c>
      <x:c r="E3" s="32" t="str">
        <x:v>Gate 4 — Seleção e Teste</x:v>
      </x:c>
      <x:c r="F3" s="32" t="str"/>
      <x:c r="G3" s="58" t="str">
        <x:v>Tipo</x:v>
      </x:c>
      <x:c r="H3" s="32" t="str">
        <x:v>Seleção</x:v>
      </x:c>
    </x:row>
    <x:row r="4">
      <x:c r="A4" s="58" t="str">
        <x:v>Propósito</x:v>
      </x:c>
      <x:c r="B4" s="32" t="str">
        <x:v>Avaliar entendimento e aceitação</x:v>
      </x:c>
      <x:c r="C4" s="32" t="str"/>
      <x:c r="D4" s="58" t="str">
        <x:v>Quando usar</x:v>
      </x:c>
      <x:c r="E4" s="32" t="str">
        <x:v>Conforme pacote inteligente / Mapa_Selecao</x:v>
      </x:c>
      <x:c r="F4" s="32" t="str"/>
      <x:c r="G4" s="58" t="str">
        <x:v>Observações</x:v>
      </x:c>
      <x:c r="H4" s="32" t="str">
        <x:v>Não substitui projeto detalhado; registra hipóteses, alertas e incertezas.</x:v>
      </x:c>
    </x:row>
    <x:row r="5">
      <x:c r="A5" s="58" t="str">
        <x:v>Produto</x:v>
      </x:c>
      <x:c r="B5" s="32" t="str">
        <x:f>IF(Dashboard!B4="","",Dashboard!B4)</x:f>
      </x:c>
      <x:c r="C5" s="32" t="str"/>
      <x:c r="D5" s="58" t="str">
        <x:v>Responsável</x:v>
      </x:c>
      <x:c r="E5" s="32" t="str">
        <x:f>IF(Dashboard!B6="","",Dashboard!B6)</x:f>
      </x:c>
      <x:c r="F5" s="32" t="str"/>
      <x:c r="G5" s="58" t="str">
        <x:v>Status</x:v>
      </x:c>
      <x:c r="H5" s="32" t="str"/>
    </x:row>
    <x:row r="6">
      <x:c r="A6" s="61" t="e">
        <x:f>HYPERLINK("#'Dashboard'!A1","← Dashboard")</x:f>
      </x:c>
      <x:c r="B6" s="61" t="e">
        <x:f>HYPERLINK("#'Indice'!A1","Índice")</x:f>
      </x:c>
      <x:c r="C6" s="61" t="e">
        <x:f>HYPERLINK("#'Mapa_Selecao'!A1","Mapa de seleção")</x:f>
      </x:c>
    </x:row>
    <x:row r="8">
      <x:c r="A8" s="66" t="str">
        <x:v>Teste de conceito preliminar</x:v>
      </x:c>
      <x:c r="B8" s="66"/>
      <x:c r="C8" s="66"/>
      <x:c r="D8" s="66"/>
      <x:c r="E8" s="66"/>
      <x:c r="F8" s="66"/>
      <x:c r="G8" s="66"/>
    </x:row>
    <x:row r="9">
      <x:c r="A9" s="20" t="str">
        <x:v>Usuário/KOL</x:v>
      </x:c>
      <x:c r="B9" s="20" t="str">
        <x:v>Conceito avaliado</x:v>
      </x:c>
      <x:c r="C9" s="20" t="str">
        <x:v>Pergunta</x:v>
      </x:c>
      <x:c r="D9" s="20" t="str">
        <x:v>Resposta</x:v>
      </x:c>
      <x:c r="E9" s="20" t="str">
        <x:v>Aceitação (1-5)</x:v>
      </x:c>
      <x:c r="F9" s="20" t="str">
        <x:v>Dúvida/risco percebido</x:v>
      </x:c>
      <x:c r="G9" s="20" t="str">
        <x:v>Ação</x:v>
      </x:c>
    </x:row>
    <x:row r="10">
      <x:c r="A10" s="37" t="str"/>
      <x:c r="B10" s="37" t="str"/>
      <x:c r="C10" s="37" t="str"/>
      <x:c r="D10" s="37" t="str"/>
      <x:c r="E10" s="37" t="str"/>
      <x:c r="F10" s="37" t="str"/>
      <x:c r="G10" s="37" t="str"/>
    </x:row>
    <x:row r="11">
      <x:c r="A11" s="37" t="str"/>
      <x:c r="B11" s="37" t="str"/>
      <x:c r="C11" s="37" t="str"/>
      <x:c r="D11" s="37" t="str"/>
      <x:c r="E11" s="37" t="str"/>
      <x:c r="F11" s="37" t="str"/>
      <x:c r="G11" s="37" t="str"/>
    </x:row>
    <x:row r="12">
      <x:c r="A12" s="37" t="str"/>
      <x:c r="B12" s="37" t="str"/>
      <x:c r="C12" s="37" t="str"/>
      <x:c r="D12" s="37" t="str"/>
      <x:c r="E12" s="37" t="str"/>
      <x:c r="F12" s="37" t="str"/>
      <x:c r="G12" s="37" t="str"/>
    </x:row>
    <x:row r="13">
      <x:c r="A13" s="37" t="str"/>
      <x:c r="B13" s="37" t="str"/>
      <x:c r="C13" s="37" t="str"/>
      <x:c r="D13" s="37" t="str"/>
      <x:c r="E13" s="37" t="str"/>
      <x:c r="F13" s="37" t="str"/>
      <x:c r="G13" s="37" t="str"/>
    </x:row>
    <x:row r="14">
      <x:c r="A14" s="37" t="str"/>
      <x:c r="B14" s="37" t="str"/>
      <x:c r="C14" s="37" t="str"/>
      <x:c r="D14" s="37" t="str"/>
      <x:c r="E14" s="37" t="str"/>
      <x:c r="F14" s="37" t="str"/>
      <x:c r="G14" s="37" t="str"/>
    </x:row>
    <x:row r="15">
      <x:c r="A15" s="37" t="str"/>
      <x:c r="B15" s="37" t="str"/>
      <x:c r="C15" s="37" t="str"/>
      <x:c r="D15" s="37" t="str"/>
      <x:c r="E15" s="37" t="str"/>
      <x:c r="F15" s="37" t="str"/>
      <x:c r="G15" s="37" t="str"/>
    </x:row>
    <x:row r="16">
      <x:c r="A16" s="37" t="str"/>
      <x:c r="B16" s="37" t="str"/>
      <x:c r="C16" s="37" t="str"/>
      <x:c r="D16" s="37" t="str"/>
      <x:c r="E16" s="37" t="str"/>
      <x:c r="F16" s="37" t="str"/>
      <x:c r="G16" s="37" t="str"/>
    </x:row>
    <x:row r="17">
      <x:c r="A17" s="37" t="str"/>
      <x:c r="B17" s="37" t="str"/>
      <x:c r="C17" s="37" t="str"/>
      <x:c r="D17" s="37" t="str"/>
      <x:c r="E17" s="37" t="str"/>
      <x:c r="F17" s="37" t="str"/>
      <x:c r="G17" s="37" t="str"/>
    </x:row>
    <x:row r="18">
      <x:c r="A18" s="37" t="str"/>
      <x:c r="B18" s="37" t="str"/>
      <x:c r="C18" s="37" t="str"/>
      <x:c r="D18" s="37" t="str"/>
      <x:c r="E18" s="37" t="str"/>
      <x:c r="F18" s="37" t="str"/>
      <x:c r="G18" s="37" t="str"/>
    </x:row>
    <x:row r="19">
      <x:c r="A19" s="37" t="str"/>
      <x:c r="B19" s="37" t="str"/>
      <x:c r="C19" s="37" t="str"/>
      <x:c r="D19" s="37" t="str"/>
      <x:c r="E19" s="37" t="str"/>
      <x:c r="F19" s="37" t="str"/>
      <x:c r="G19" s="37" t="str"/>
    </x:row>
    <x:row r="20">
      <x:c r="A20" s="37" t="str"/>
      <x:c r="B20" s="37" t="str"/>
      <x:c r="C20" s="37" t="str"/>
      <x:c r="D20" s="37" t="str"/>
      <x:c r="E20" s="37" t="str"/>
      <x:c r="F20" s="37" t="str"/>
      <x:c r="G20" s="37" t="str"/>
    </x:row>
    <x:row r="21">
      <x:c r="A21" s="37" t="str"/>
      <x:c r="B21" s="37" t="str"/>
      <x:c r="C21" s="37" t="str"/>
      <x:c r="D21" s="37" t="str"/>
      <x:c r="E21" s="37" t="str"/>
      <x:c r="F21" s="37" t="str"/>
      <x:c r="G21" s="37" t="str"/>
    </x:row>
    <x:row r="22">
      <x:c r="A22" s="37" t="str"/>
      <x:c r="B22" s="37" t="str"/>
      <x:c r="C22" s="37" t="str"/>
      <x:c r="D22" s="37" t="str"/>
      <x:c r="E22" s="37" t="str"/>
      <x:c r="F22" s="37" t="str"/>
      <x:c r="G22" s="37" t="str"/>
    </x:row>
    <x:row r="23">
      <x:c r="A23" s="37" t="str"/>
      <x:c r="B23" s="37" t="str"/>
      <x:c r="C23" s="37" t="str"/>
      <x:c r="D23" s="37" t="str"/>
      <x:c r="E23" s="37" t="str"/>
      <x:c r="F23" s="37" t="str"/>
      <x:c r="G23" s="37" t="str"/>
    </x:row>
  </x:sheetData>
  <x:mergeCells>
    <x:mergeCell ref="A1:H1"/>
    <x:mergeCell ref="A2:H2"/>
    <x:mergeCell ref="A8:G8"/>
  </x:mergeCells>
  <x:dataValidations count="2">
    <x:dataValidation type="list" sqref="H5">
      <x:formula1>"Não iniciado,Em preenchimento,Em revisão,Concluído"</x:formula1>
    </x:dataValidation>
    <x:dataValidation type="list" sqref="E10:E23">
      <x:formula1>"1,2,3,4,5"</x:formula1>
    </x:dataValidation>
  </x:dataValidations>
  <x:pageMargins left="0.7" right="0.7" top="0.75" bottom="0.75" header="0.3" footer="0.3"/>
</x:worksheet>
</file>

<file path=xl/worksheets/sheet71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38" hidden="0" customWidth="1"/>
    <x:col min="3" max="3" width="28" hidden="0" customWidth="1"/>
    <x:col min="4" max="4" width="42" hidden="0" customWidth="1"/>
    <x:col min="5" max="5" width="18" hidden="0" customWidth="1"/>
    <x:col min="6" max="6" width="16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</x:cols>
  <x:sheetData>
    <x:row r="1">
      <x:c r="A1" s="4" t="str">
        <x:v>Prototipagem conceitual de apoio</x:v>
      </x:c>
      <x:c r="B1" s="4"/>
      <x:c r="C1" s="4"/>
      <x:c r="D1" s="4"/>
      <x:c r="E1" s="4"/>
      <x:c r="F1" s="4"/>
      <x:c r="G1" s="4"/>
      <x:c r="H1" s="4"/>
    </x:row>
    <x:row r="2">
      <x:c r="A2" s="11" t="str">
        <x:v>Ferramenta do ciclo de idealização até conceito aprovado. Preencha somente quando aplicável ao produto.</x:v>
      </x:c>
      <x:c r="B2" s="11"/>
      <x:c r="C2" s="11"/>
      <x:c r="D2" s="11"/>
      <x:c r="E2" s="11"/>
      <x:c r="F2" s="11"/>
      <x:c r="G2" s="11"/>
      <x:c r="H2" s="11"/>
    </x:row>
    <x:row r="3">
      <x:c r="A3" s="58" t="str">
        <x:v>Código</x:v>
      </x:c>
      <x:c r="B3" s="32" t="str">
        <x:v>G4_PROTO</x:v>
      </x:c>
      <x:c r="C3" s="32" t="str"/>
      <x:c r="D3" s="58" t="str">
        <x:v>Gate</x:v>
      </x:c>
      <x:c r="E3" s="32" t="str">
        <x:v>Gate 4 — Seleção e Teste</x:v>
      </x:c>
      <x:c r="F3" s="32" t="str"/>
      <x:c r="G3" s="58" t="str">
        <x:v>Tipo</x:v>
      </x:c>
      <x:c r="H3" s="32" t="str">
        <x:v>Seleção</x:v>
      </x:c>
    </x:row>
    <x:row r="4">
      <x:c r="A4" s="58" t="str">
        <x:v>Propósito</x:v>
      </x:c>
      <x:c r="B4" s="32" t="str">
        <x:v>Apoiar comunicação e teste</x:v>
      </x:c>
      <x:c r="C4" s="32" t="str"/>
      <x:c r="D4" s="58" t="str">
        <x:v>Quando usar</x:v>
      </x:c>
      <x:c r="E4" s="32" t="str">
        <x:v>Conforme pacote inteligente / Mapa_Selecao</x:v>
      </x:c>
      <x:c r="F4" s="32" t="str"/>
      <x:c r="G4" s="58" t="str">
        <x:v>Observações</x:v>
      </x:c>
      <x:c r="H4" s="32" t="str">
        <x:v>Não substitui projeto detalhado; registra hipóteses, alertas e incertezas.</x:v>
      </x:c>
    </x:row>
    <x:row r="5">
      <x:c r="A5" s="58" t="str">
        <x:v>Produto</x:v>
      </x:c>
      <x:c r="B5" s="32" t="str">
        <x:f>IF(Dashboard!B4="","",Dashboard!B4)</x:f>
      </x:c>
      <x:c r="C5" s="32" t="str"/>
      <x:c r="D5" s="58" t="str">
        <x:v>Responsável</x:v>
      </x:c>
      <x:c r="E5" s="32" t="str">
        <x:f>IF(Dashboard!B6="","",Dashboard!B6)</x:f>
      </x:c>
      <x:c r="F5" s="32" t="str"/>
      <x:c r="G5" s="58" t="str">
        <x:v>Status</x:v>
      </x:c>
      <x:c r="H5" s="32" t="str"/>
    </x:row>
    <x:row r="6">
      <x:c r="A6" s="61" t="e">
        <x:f>HYPERLINK("#'Dashboard'!A1","← Dashboard")</x:f>
      </x:c>
      <x:c r="B6" s="61" t="e">
        <x:f>HYPERLINK("#'Indice'!A1","Índice")</x:f>
      </x:c>
      <x:c r="C6" s="61" t="e">
        <x:f>HYPERLINK("#'Mapa_Selecao'!A1","Mapa de seleção")</x:f>
      </x:c>
    </x:row>
    <x:row r="8">
      <x:c r="A8" s="66" t="str">
        <x:v>Formulário de aplicação da ferramenta</x:v>
      </x:c>
      <x:c r="B8" s="66"/>
      <x:c r="C8" s="66"/>
      <x:c r="D8" s="66"/>
      <x:c r="E8" s="66"/>
      <x:c r="F8" s="66"/>
    </x:row>
    <x:row r="9">
      <x:c r="A9" s="20" t="str">
        <x:v>Item</x:v>
      </x:c>
      <x:c r="B9" s="20" t="str">
        <x:v>Pergunta / campo</x:v>
      </x:c>
      <x:c r="C9" s="20" t="str">
        <x:v>Resposta</x:v>
      </x:c>
      <x:c r="D9" s="20" t="str">
        <x:v>Evidência / observação</x:v>
      </x:c>
      <x:c r="E9" s="20" t="str">
        <x:v>Responsável</x:v>
      </x:c>
      <x:c r="F9" s="20" t="str">
        <x:v>Status</x:v>
      </x:c>
    </x:row>
    <x:row r="10">
      <x:c r="A10" s="32" t="str">
        <x:v>1</x:v>
      </x:c>
      <x:c r="B10" s="32" t="str">
        <x:v>Qual é o objetivo desta ferramenta para este produto?</x:v>
      </x:c>
      <x:c r="C10" s="32" t="str"/>
      <x:c r="D10" s="32" t="str"/>
      <x:c r="E10" s="32" t="str"/>
      <x:c r="F10" s="32" t="str"/>
    </x:row>
    <x:row r="11">
      <x:c r="A11" s="32" t="str">
        <x:v>2</x:v>
      </x:c>
      <x:c r="B11" s="32" t="str">
        <x:v>Quais informações já estão disponíveis?</x:v>
      </x:c>
      <x:c r="C11" s="32" t="str"/>
      <x:c r="D11" s="32" t="str"/>
      <x:c r="E11" s="32" t="str"/>
      <x:c r="F11" s="32" t="str"/>
    </x:row>
    <x:row r="12">
      <x:c r="A12" s="32" t="str">
        <x:v>3</x:v>
      </x:c>
      <x:c r="B12" s="32" t="str">
        <x:v>Quais informações ainda estão pendentes?</x:v>
      </x:c>
      <x:c r="C12" s="32" t="str"/>
      <x:c r="D12" s="32" t="str"/>
      <x:c r="E12" s="32" t="str"/>
      <x:c r="F12" s="32" t="str"/>
    </x:row>
    <x:row r="13">
      <x:c r="A13" s="32" t="str">
        <x:v>4</x:v>
      </x:c>
      <x:c r="B13" s="32" t="str">
        <x:v>Quais achados impactam o conceito?</x:v>
      </x:c>
      <x:c r="C13" s="32" t="str"/>
      <x:c r="D13" s="32" t="str"/>
      <x:c r="E13" s="32" t="str"/>
      <x:c r="F13" s="32" t="str"/>
    </x:row>
    <x:row r="14">
      <x:c r="A14" s="32" t="str">
        <x:v>5</x:v>
      </x:c>
      <x:c r="B14" s="32" t="str">
        <x:v>Quais incertezas devem seguir para o próximo Gate?</x:v>
      </x:c>
      <x:c r="C14" s="32" t="str"/>
      <x:c r="D14" s="32" t="str"/>
      <x:c r="E14" s="32" t="str"/>
      <x:c r="F14" s="32" t="str"/>
    </x:row>
    <x:row r="15">
      <x:c r="A15" s="32"/>
      <x:c r="B15" s="32"/>
      <x:c r="C15" s="32"/>
      <x:c r="D15" s="32"/>
      <x:c r="E15" s="32"/>
      <x:c r="F15" s="32"/>
    </x:row>
    <x:row r="16">
      <x:c r="A16" s="32"/>
      <x:c r="B16" s="32"/>
      <x:c r="C16" s="32"/>
      <x:c r="D16" s="32"/>
      <x:c r="E16" s="32"/>
      <x:c r="F16" s="32"/>
    </x:row>
    <x:row r="17">
      <x:c r="A17" s="32"/>
      <x:c r="B17" s="32"/>
      <x:c r="C17" s="32"/>
      <x:c r="D17" s="32"/>
      <x:c r="E17" s="32"/>
      <x:c r="F17" s="32"/>
    </x:row>
    <x:row r="18">
      <x:c r="A18" s="32"/>
      <x:c r="B18" s="32"/>
      <x:c r="C18" s="32"/>
      <x:c r="D18" s="32"/>
      <x:c r="E18" s="32"/>
      <x:c r="F18" s="32"/>
    </x:row>
    <x:row r="19">
      <x:c r="A19" s="32"/>
      <x:c r="B19" s="32"/>
      <x:c r="C19" s="32"/>
      <x:c r="D19" s="32"/>
      <x:c r="E19" s="32"/>
      <x:c r="F19" s="32"/>
    </x:row>
    <x:row r="20">
      <x:c r="A20" s="32"/>
      <x:c r="B20" s="32"/>
      <x:c r="C20" s="32"/>
      <x:c r="D20" s="32"/>
      <x:c r="E20" s="32"/>
      <x:c r="F20" s="32"/>
    </x:row>
  </x:sheetData>
  <x:mergeCells>
    <x:mergeCell ref="A1:H1"/>
    <x:mergeCell ref="A2:H2"/>
    <x:mergeCell ref="A8:F8"/>
  </x:mergeCells>
  <x:dataValidations count="2">
    <x:dataValidation type="list" sqref="H5">
      <x:formula1>"Não iniciado,Em preenchimento,Em revisão,Concluído"</x:formula1>
    </x:dataValidation>
    <x:dataValidation type="list" sqref="F10:F20">
      <x:formula1>"Não iniciado,Em preenchimento,Concluído,N/A"</x:formula1>
    </x:dataValidation>
  </x:dataValidations>
  <x:pageMargins left="0.7" right="0.7" top="0.75" bottom="0.75" header="0.3" footer="0.3"/>
</x:worksheet>
</file>

<file path=xl/worksheets/sheet72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38" hidden="0" customWidth="1"/>
    <x:col min="3" max="3" width="28" hidden="0" customWidth="1"/>
    <x:col min="4" max="4" width="42" hidden="0" customWidth="1"/>
    <x:col min="5" max="5" width="18" hidden="0" customWidth="1"/>
    <x:col min="6" max="6" width="16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</x:cols>
  <x:sheetData>
    <x:row r="1">
      <x:c r="A1" s="4" t="str">
        <x:v>Scorecard de conceito</x:v>
      </x:c>
      <x:c r="B1" s="4"/>
      <x:c r="C1" s="4"/>
      <x:c r="D1" s="4"/>
      <x:c r="E1" s="4"/>
      <x:c r="F1" s="4"/>
      <x:c r="G1" s="4"/>
      <x:c r="H1" s="4"/>
    </x:row>
    <x:row r="2">
      <x:c r="A2" s="11" t="str">
        <x:v>Ferramenta do ciclo de idealização até conceito aprovado. Preencha somente quando aplicável ao produto.</x:v>
      </x:c>
      <x:c r="B2" s="11"/>
      <x:c r="C2" s="11"/>
      <x:c r="D2" s="11"/>
      <x:c r="E2" s="11"/>
      <x:c r="F2" s="11"/>
      <x:c r="G2" s="11"/>
      <x:c r="H2" s="11"/>
    </x:row>
    <x:row r="3">
      <x:c r="A3" s="58" t="str">
        <x:v>Código</x:v>
      </x:c>
      <x:c r="B3" s="32" t="str">
        <x:v>G4_SCORE</x:v>
      </x:c>
      <x:c r="C3" s="32" t="str"/>
      <x:c r="D3" s="58" t="str">
        <x:v>Gate</x:v>
      </x:c>
      <x:c r="E3" s="32" t="str">
        <x:v>Gate 4 — Seleção e Teste</x:v>
      </x:c>
      <x:c r="F3" s="32" t="str"/>
      <x:c r="G3" s="58" t="str">
        <x:v>Tipo</x:v>
      </x:c>
      <x:c r="H3" s="32" t="str">
        <x:v>Seleção</x:v>
      </x:c>
    </x:row>
    <x:row r="4">
      <x:c r="A4" s="58" t="str">
        <x:v>Propósito</x:v>
      </x:c>
      <x:c r="B4" s="32" t="str">
        <x:v>Consolidar avaliação final</x:v>
      </x:c>
      <x:c r="C4" s="32" t="str"/>
      <x:c r="D4" s="58" t="str">
        <x:v>Quando usar</x:v>
      </x:c>
      <x:c r="E4" s="32" t="str">
        <x:v>Conforme pacote inteligente / Mapa_Selecao</x:v>
      </x:c>
      <x:c r="F4" s="32" t="str"/>
      <x:c r="G4" s="58" t="str">
        <x:v>Observações</x:v>
      </x:c>
      <x:c r="H4" s="32" t="str">
        <x:v>Não substitui projeto detalhado; registra hipóteses, alertas e incertezas.</x:v>
      </x:c>
    </x:row>
    <x:row r="5">
      <x:c r="A5" s="58" t="str">
        <x:v>Produto</x:v>
      </x:c>
      <x:c r="B5" s="32" t="str">
        <x:f>IF(Dashboard!B4="","",Dashboard!B4)</x:f>
      </x:c>
      <x:c r="C5" s="32" t="str"/>
      <x:c r="D5" s="58" t="str">
        <x:v>Responsável</x:v>
      </x:c>
      <x:c r="E5" s="32" t="str">
        <x:f>IF(Dashboard!B6="","",Dashboard!B6)</x:f>
      </x:c>
      <x:c r="F5" s="32" t="str"/>
      <x:c r="G5" s="58" t="str">
        <x:v>Status</x:v>
      </x:c>
      <x:c r="H5" s="32" t="str"/>
    </x:row>
    <x:row r="6">
      <x:c r="A6" s="61" t="e">
        <x:f>HYPERLINK("#'Dashboard'!A1","← Dashboard")</x:f>
      </x:c>
      <x:c r="B6" s="61" t="e">
        <x:f>HYPERLINK("#'Indice'!A1","Índice")</x:f>
      </x:c>
      <x:c r="C6" s="61" t="e">
        <x:f>HYPERLINK("#'Mapa_Selecao'!A1","Mapa de seleção")</x:f>
      </x:c>
    </x:row>
    <x:row r="8">
      <x:c r="A8" s="66" t="str">
        <x:v>Formulário de aplicação da ferramenta</x:v>
      </x:c>
      <x:c r="B8" s="66"/>
      <x:c r="C8" s="66"/>
      <x:c r="D8" s="66"/>
      <x:c r="E8" s="66"/>
      <x:c r="F8" s="66"/>
    </x:row>
    <x:row r="9">
      <x:c r="A9" s="20" t="str">
        <x:v>Item</x:v>
      </x:c>
      <x:c r="B9" s="20" t="str">
        <x:v>Pergunta / campo</x:v>
      </x:c>
      <x:c r="C9" s="20" t="str">
        <x:v>Resposta</x:v>
      </x:c>
      <x:c r="D9" s="20" t="str">
        <x:v>Evidência / observação</x:v>
      </x:c>
      <x:c r="E9" s="20" t="str">
        <x:v>Responsável</x:v>
      </x:c>
      <x:c r="F9" s="20" t="str">
        <x:v>Status</x:v>
      </x:c>
    </x:row>
    <x:row r="10">
      <x:c r="A10" s="32" t="str">
        <x:v>1</x:v>
      </x:c>
      <x:c r="B10" s="32" t="str">
        <x:v>Qual é o objetivo desta ferramenta para este produto?</x:v>
      </x:c>
      <x:c r="C10" s="32" t="str"/>
      <x:c r="D10" s="32" t="str"/>
      <x:c r="E10" s="32" t="str"/>
      <x:c r="F10" s="32" t="str"/>
    </x:row>
    <x:row r="11">
      <x:c r="A11" s="32" t="str">
        <x:v>2</x:v>
      </x:c>
      <x:c r="B11" s="32" t="str">
        <x:v>Quais informações já estão disponíveis?</x:v>
      </x:c>
      <x:c r="C11" s="32" t="str"/>
      <x:c r="D11" s="32" t="str"/>
      <x:c r="E11" s="32" t="str"/>
      <x:c r="F11" s="32" t="str"/>
    </x:row>
    <x:row r="12">
      <x:c r="A12" s="32" t="str">
        <x:v>3</x:v>
      </x:c>
      <x:c r="B12" s="32" t="str">
        <x:v>Quais informações ainda estão pendentes?</x:v>
      </x:c>
      <x:c r="C12" s="32" t="str"/>
      <x:c r="D12" s="32" t="str"/>
      <x:c r="E12" s="32" t="str"/>
      <x:c r="F12" s="32" t="str"/>
    </x:row>
    <x:row r="13">
      <x:c r="A13" s="32" t="str">
        <x:v>4</x:v>
      </x:c>
      <x:c r="B13" s="32" t="str">
        <x:v>Quais achados impactam o conceito?</x:v>
      </x:c>
      <x:c r="C13" s="32" t="str"/>
      <x:c r="D13" s="32" t="str"/>
      <x:c r="E13" s="32" t="str"/>
      <x:c r="F13" s="32" t="str"/>
    </x:row>
    <x:row r="14">
      <x:c r="A14" s="32" t="str">
        <x:v>5</x:v>
      </x:c>
      <x:c r="B14" s="32" t="str">
        <x:v>Quais incertezas devem seguir para o próximo Gate?</x:v>
      </x:c>
      <x:c r="C14" s="32" t="str"/>
      <x:c r="D14" s="32" t="str"/>
      <x:c r="E14" s="32" t="str"/>
      <x:c r="F14" s="32" t="str"/>
    </x:row>
    <x:row r="15">
      <x:c r="A15" s="32"/>
      <x:c r="B15" s="32"/>
      <x:c r="C15" s="32"/>
      <x:c r="D15" s="32"/>
      <x:c r="E15" s="32"/>
      <x:c r="F15" s="32"/>
    </x:row>
    <x:row r="16">
      <x:c r="A16" s="32"/>
      <x:c r="B16" s="32"/>
      <x:c r="C16" s="32"/>
      <x:c r="D16" s="32"/>
      <x:c r="E16" s="32"/>
      <x:c r="F16" s="32"/>
    </x:row>
    <x:row r="17">
      <x:c r="A17" s="32"/>
      <x:c r="B17" s="32"/>
      <x:c r="C17" s="32"/>
      <x:c r="D17" s="32"/>
      <x:c r="E17" s="32"/>
      <x:c r="F17" s="32"/>
    </x:row>
    <x:row r="18">
      <x:c r="A18" s="32"/>
      <x:c r="B18" s="32"/>
      <x:c r="C18" s="32"/>
      <x:c r="D18" s="32"/>
      <x:c r="E18" s="32"/>
      <x:c r="F18" s="32"/>
    </x:row>
    <x:row r="19">
      <x:c r="A19" s="32"/>
      <x:c r="B19" s="32"/>
      <x:c r="C19" s="32"/>
      <x:c r="D19" s="32"/>
      <x:c r="E19" s="32"/>
      <x:c r="F19" s="32"/>
    </x:row>
    <x:row r="20">
      <x:c r="A20" s="32"/>
      <x:c r="B20" s="32"/>
      <x:c r="C20" s="32"/>
      <x:c r="D20" s="32"/>
      <x:c r="E20" s="32"/>
      <x:c r="F20" s="32"/>
    </x:row>
  </x:sheetData>
  <x:mergeCells>
    <x:mergeCell ref="A1:H1"/>
    <x:mergeCell ref="A2:H2"/>
    <x:mergeCell ref="A8:F8"/>
  </x:mergeCells>
  <x:dataValidations count="2">
    <x:dataValidation type="list" sqref="H5">
      <x:formula1>"Não iniciado,Em preenchimento,Em revisão,Concluído"</x:formula1>
    </x:dataValidation>
    <x:dataValidation type="list" sqref="F10:F20">
      <x:formula1>"Não iniciado,Em preenchimento,Concluído,N/A"</x:formula1>
    </x:dataValidation>
  </x:dataValidations>
  <x:pageMargins left="0.7" right="0.7" top="0.75" bottom="0.75" header="0.3" footer="0.3"/>
</x:worksheet>
</file>

<file path=xl/worksheets/sheet73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18" hidden="0" customWidth="1"/>
    <x:col min="3" max="3" width="14" hidden="0" customWidth="1"/>
    <x:col min="4" max="4" width="42" hidden="0" customWidth="1"/>
    <x:col min="5" max="5" width="18" hidden="0" customWidth="1"/>
    <x:col min="6" max="6" width="16" hidden="0" customWidth="1"/>
    <x:col min="7" max="7" width="18" hidden="0" customWidth="1"/>
    <x:col min="8" max="8" width="40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</x:cols>
  <x:sheetData>
    <x:row r="1">
      <x:c r="A1" s="4" t="str">
        <x:v>Mapa de incertezas do conceito selecionado</x:v>
      </x:c>
      <x:c r="B1" s="4"/>
      <x:c r="C1" s="4"/>
      <x:c r="D1" s="4"/>
      <x:c r="E1" s="4"/>
      <x:c r="F1" s="4"/>
      <x:c r="G1" s="4"/>
      <x:c r="H1" s="4"/>
    </x:row>
    <x:row r="2">
      <x:c r="A2" s="11" t="str">
        <x:v>Ferramenta do ciclo de idealização até conceito aprovado. Preencha somente quando aplicável ao produto.</x:v>
      </x:c>
      <x:c r="B2" s="11"/>
      <x:c r="C2" s="11"/>
      <x:c r="D2" s="11"/>
      <x:c r="E2" s="11"/>
      <x:c r="F2" s="11"/>
      <x:c r="G2" s="11"/>
      <x:c r="H2" s="11"/>
    </x:row>
    <x:row r="3">
      <x:c r="A3" s="58" t="str">
        <x:v>Código</x:v>
      </x:c>
      <x:c r="B3" s="32" t="str">
        <x:v>G4_INCERT</x:v>
      </x:c>
      <x:c r="C3" s="32" t="str"/>
      <x:c r="D3" s="58" t="str">
        <x:v>Gate</x:v>
      </x:c>
      <x:c r="E3" s="32" t="str">
        <x:v>Gate 4 — Seleção e Teste</x:v>
      </x:c>
      <x:c r="F3" s="32" t="str"/>
      <x:c r="G3" s="58" t="str">
        <x:v>Tipo</x:v>
      </x:c>
      <x:c r="H3" s="32" t="str">
        <x:v>Seleção</x:v>
      </x:c>
    </x:row>
    <x:row r="4">
      <x:c r="A4" s="58" t="str">
        <x:v>Propósito</x:v>
      </x:c>
      <x:c r="B4" s="32" t="str">
        <x:v>Registrar dúvidas remanescentes</x:v>
      </x:c>
      <x:c r="C4" s="32" t="str"/>
      <x:c r="D4" s="58" t="str">
        <x:v>Quando usar</x:v>
      </x:c>
      <x:c r="E4" s="32" t="str">
        <x:v>Conforme pacote inteligente / Mapa_Selecao</x:v>
      </x:c>
      <x:c r="F4" s="32" t="str"/>
      <x:c r="G4" s="58" t="str">
        <x:v>Observações</x:v>
      </x:c>
      <x:c r="H4" s="32" t="str">
        <x:v>Não substitui projeto detalhado; registra hipóteses, alertas e incertezas.</x:v>
      </x:c>
    </x:row>
    <x:row r="5">
      <x:c r="A5" s="58" t="str">
        <x:v>Produto</x:v>
      </x:c>
      <x:c r="B5" s="32" t="str">
        <x:f>IF(Dashboard!B4="","",Dashboard!B4)</x:f>
      </x:c>
      <x:c r="C5" s="32" t="str"/>
      <x:c r="D5" s="58" t="str">
        <x:v>Responsável</x:v>
      </x:c>
      <x:c r="E5" s="32" t="str">
        <x:f>IF(Dashboard!B6="","",Dashboard!B6)</x:f>
      </x:c>
      <x:c r="F5" s="32" t="str"/>
      <x:c r="G5" s="58" t="str">
        <x:v>Status</x:v>
      </x:c>
      <x:c r="H5" s="32" t="str"/>
    </x:row>
    <x:row r="6">
      <x:c r="A6" s="61" t="e">
        <x:f>HYPERLINK("#'Dashboard'!A1","← Dashboard")</x:f>
      </x:c>
      <x:c r="B6" s="61" t="e">
        <x:f>HYPERLINK("#'Indice'!A1","Índice")</x:f>
      </x:c>
      <x:c r="C6" s="61" t="e">
        <x:f>HYPERLINK("#'Mapa_Selecao'!A1","Mapa de seleção")</x:f>
      </x:c>
    </x:row>
    <x:row r="8">
      <x:c r="A8" s="66" t="str">
        <x:v>Mapa de incertezas</x:v>
      </x:c>
      <x:c r="B8" s="66"/>
      <x:c r="C8" s="66"/>
      <x:c r="D8" s="66"/>
      <x:c r="E8" s="66"/>
      <x:c r="F8" s="66"/>
      <x:c r="G8" s="66"/>
      <x:c r="H8" s="66"/>
    </x:row>
    <x:row r="9">
      <x:c r="A9" s="20" t="str">
        <x:v>Incerteza</x:v>
      </x:c>
      <x:c r="B9" s="20" t="str">
        <x:v>Tipo</x:v>
      </x:c>
      <x:c r="C9" s="20" t="str">
        <x:v>Impacto</x:v>
      </x:c>
      <x:c r="D9" s="20" t="str">
        <x:v>Como investigar</x:v>
      </x:c>
      <x:c r="E9" s="20" t="str">
        <x:v>Responsável</x:v>
      </x:c>
      <x:c r="F9" s="20" t="str">
        <x:v>Prazo</x:v>
      </x:c>
      <x:c r="G9" s="20" t="str">
        <x:v>Status</x:v>
      </x:c>
      <x:c r="H9" s="20" t="str">
        <x:v>Encaminhamento</x:v>
      </x:c>
    </x:row>
    <x:row r="10">
      <x:c r="A10" s="37" t="str"/>
      <x:c r="B10" s="37" t="str"/>
      <x:c r="C10" s="37" t="str"/>
      <x:c r="D10" s="37" t="str"/>
      <x:c r="E10" s="37" t="str"/>
      <x:c r="F10" s="37" t="str"/>
      <x:c r="G10" s="37" t="str"/>
      <x:c r="H10" s="37" t="str"/>
    </x:row>
    <x:row r="11">
      <x:c r="A11" s="37" t="str"/>
      <x:c r="B11" s="37" t="str"/>
      <x:c r="C11" s="37" t="str"/>
      <x:c r="D11" s="37" t="str"/>
      <x:c r="E11" s="37" t="str"/>
      <x:c r="F11" s="37" t="str"/>
      <x:c r="G11" s="37" t="str"/>
      <x:c r="H11" s="37" t="str"/>
    </x:row>
    <x:row r="12">
      <x:c r="A12" s="37" t="str"/>
      <x:c r="B12" s="37" t="str"/>
      <x:c r="C12" s="37" t="str"/>
      <x:c r="D12" s="37" t="str"/>
      <x:c r="E12" s="37" t="str"/>
      <x:c r="F12" s="37" t="str"/>
      <x:c r="G12" s="37" t="str"/>
      <x:c r="H12" s="37" t="str"/>
    </x:row>
    <x:row r="13">
      <x:c r="A13" s="37" t="str"/>
      <x:c r="B13" s="37" t="str"/>
      <x:c r="C13" s="37" t="str"/>
      <x:c r="D13" s="37" t="str"/>
      <x:c r="E13" s="37" t="str"/>
      <x:c r="F13" s="37" t="str"/>
      <x:c r="G13" s="37" t="str"/>
      <x:c r="H13" s="37" t="str"/>
    </x:row>
    <x:row r="14">
      <x:c r="A14" s="37" t="str"/>
      <x:c r="B14" s="37" t="str"/>
      <x:c r="C14" s="37" t="str"/>
      <x:c r="D14" s="37" t="str"/>
      <x:c r="E14" s="37" t="str"/>
      <x:c r="F14" s="37" t="str"/>
      <x:c r="G14" s="37" t="str"/>
      <x:c r="H14" s="37" t="str"/>
    </x:row>
    <x:row r="15">
      <x:c r="A15" s="37" t="str"/>
      <x:c r="B15" s="37" t="str"/>
      <x:c r="C15" s="37" t="str"/>
      <x:c r="D15" s="37" t="str"/>
      <x:c r="E15" s="37" t="str"/>
      <x:c r="F15" s="37" t="str"/>
      <x:c r="G15" s="37" t="str"/>
      <x:c r="H15" s="37" t="str"/>
    </x:row>
    <x:row r="16">
      <x:c r="A16" s="37" t="str"/>
      <x:c r="B16" s="37" t="str"/>
      <x:c r="C16" s="37" t="str"/>
      <x:c r="D16" s="37" t="str"/>
      <x:c r="E16" s="37" t="str"/>
      <x:c r="F16" s="37" t="str"/>
      <x:c r="G16" s="37" t="str"/>
      <x:c r="H16" s="37" t="str"/>
    </x:row>
    <x:row r="17">
      <x:c r="A17" s="37" t="str"/>
      <x:c r="B17" s="37" t="str"/>
      <x:c r="C17" s="37" t="str"/>
      <x:c r="D17" s="37" t="str"/>
      <x:c r="E17" s="37" t="str"/>
      <x:c r="F17" s="37" t="str"/>
      <x:c r="G17" s="37" t="str"/>
      <x:c r="H17" s="37" t="str"/>
    </x:row>
    <x:row r="18">
      <x:c r="A18" s="37" t="str"/>
      <x:c r="B18" s="37" t="str"/>
      <x:c r="C18" s="37" t="str"/>
      <x:c r="D18" s="37" t="str"/>
      <x:c r="E18" s="37" t="str"/>
      <x:c r="F18" s="37" t="str"/>
      <x:c r="G18" s="37" t="str"/>
      <x:c r="H18" s="37" t="str"/>
    </x:row>
    <x:row r="19">
      <x:c r="A19" s="37" t="str"/>
      <x:c r="B19" s="37" t="str"/>
      <x:c r="C19" s="37" t="str"/>
      <x:c r="D19" s="37" t="str"/>
      <x:c r="E19" s="37" t="str"/>
      <x:c r="F19" s="37" t="str"/>
      <x:c r="G19" s="37" t="str"/>
      <x:c r="H19" s="37" t="str"/>
    </x:row>
    <x:row r="20">
      <x:c r="A20" s="37" t="str"/>
      <x:c r="B20" s="37" t="str"/>
      <x:c r="C20" s="37" t="str"/>
      <x:c r="D20" s="37" t="str"/>
      <x:c r="E20" s="37" t="str"/>
      <x:c r="F20" s="37" t="str"/>
      <x:c r="G20" s="37" t="str"/>
      <x:c r="H20" s="37" t="str"/>
    </x:row>
    <x:row r="21">
      <x:c r="A21" s="37" t="str"/>
      <x:c r="B21" s="37" t="str"/>
      <x:c r="C21" s="37" t="str"/>
      <x:c r="D21" s="37" t="str"/>
      <x:c r="E21" s="37" t="str"/>
      <x:c r="F21" s="37" t="str"/>
      <x:c r="G21" s="37" t="str"/>
      <x:c r="H21" s="37" t="str"/>
    </x:row>
    <x:row r="22">
      <x:c r="A22" s="37" t="str"/>
      <x:c r="B22" s="37" t="str"/>
      <x:c r="C22" s="37" t="str"/>
      <x:c r="D22" s="37" t="str"/>
      <x:c r="E22" s="37" t="str"/>
      <x:c r="F22" s="37" t="str"/>
      <x:c r="G22" s="37" t="str"/>
      <x:c r="H22" s="37" t="str"/>
    </x:row>
    <x:row r="23">
      <x:c r="A23" s="37" t="str"/>
      <x:c r="B23" s="37" t="str"/>
      <x:c r="C23" s="37" t="str"/>
      <x:c r="D23" s="37" t="str"/>
      <x:c r="E23" s="37" t="str"/>
      <x:c r="F23" s="37" t="str"/>
      <x:c r="G23" s="37" t="str"/>
      <x:c r="H23" s="37" t="str"/>
    </x:row>
    <x:row r="24">
      <x:c r="A24" s="37" t="str"/>
      <x:c r="B24" s="37" t="str"/>
      <x:c r="C24" s="37" t="str"/>
      <x:c r="D24" s="37" t="str"/>
      <x:c r="E24" s="37" t="str"/>
      <x:c r="F24" s="37" t="str"/>
      <x:c r="G24" s="37" t="str"/>
      <x:c r="H24" s="37" t="str"/>
    </x:row>
    <x:row r="25">
      <x:c r="A25" s="37" t="str"/>
      <x:c r="B25" s="37" t="str"/>
      <x:c r="C25" s="37" t="str"/>
      <x:c r="D25" s="37" t="str"/>
      <x:c r="E25" s="37" t="str"/>
      <x:c r="F25" s="37" t="str"/>
      <x:c r="G25" s="37" t="str"/>
      <x:c r="H25" s="37" t="str"/>
    </x:row>
  </x:sheetData>
  <x:mergeCells>
    <x:mergeCell ref="A1:H1"/>
    <x:mergeCell ref="A2:H2"/>
    <x:mergeCell ref="A8:H8"/>
  </x:mergeCells>
  <x:dataValidations count="4">
    <x:dataValidation type="list" sqref="H5">
      <x:formula1>"Não iniciado,Em preenchimento,Em revisão,Concluído"</x:formula1>
    </x:dataValidation>
    <x:dataValidation type="list" sqref="B10:B25">
      <x:formula1>"Técnica,Clínica,Regulatória,Mercado,Custo,Fornecedor,Uso"</x:formula1>
    </x:dataValidation>
    <x:dataValidation type="list" sqref="C10:C25">
      <x:formula1>"Baixo,Médio,Alto"</x:formula1>
    </x:dataValidation>
    <x:dataValidation type="list" sqref="G10:G25">
      <x:formula1>"Aberta,Em investigação,Reduzida,Fechada"</x:formula1>
    </x:dataValidation>
  </x:dataValidations>
  <x:pageMargins left="0.7" right="0.7" top="0.75" bottom="0.75" header="0.3" footer="0.3"/>
</x:worksheet>
</file>

<file path=xl/worksheets/sheet74.xml><?xml version="1.0" encoding="utf-8"?>
<x:worksheet xmlns:x="http://schemas.openxmlformats.org/spreadsheetml/2006/main">
  <x:sheetFormatPr defaultRowHeight="15"/>
  <x:cols>
    <x:col min="1" max="1" width="48" hidden="0" customWidth="1"/>
    <x:col min="2" max="2" width="16" hidden="0" customWidth="1"/>
    <x:col min="3" max="3" width="10" hidden="0" customWidth="1"/>
    <x:col min="4" max="4" width="14" hidden="0" customWidth="1"/>
    <x:col min="5" max="5" width="56" hidden="0" customWidth="1"/>
    <x:col min="6" max="6" width="22" hidden="0" customWidth="1"/>
    <x:col min="7" max="7" width="22" hidden="0" customWidth="1"/>
    <x:col min="8" max="8" width="22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</x:cols>
  <x:sheetData>
    <x:row r="1">
      <x:c r="A1" s="4" t="str">
        <x:v>Matriz Go/No-Go — Gate 4</x:v>
      </x:c>
      <x:c r="B1" s="4"/>
      <x:c r="C1" s="4"/>
      <x:c r="D1" s="4"/>
      <x:c r="E1" s="4"/>
      <x:c r="F1" s="4"/>
      <x:c r="G1" s="4"/>
      <x:c r="H1" s="4"/>
    </x:row>
    <x:row r="2">
      <x:c r="A2" s="11" t="str">
        <x:v>Ferramenta do ciclo de idealização até conceito aprovado. Preencha somente quando aplicável ao produto.</x:v>
      </x:c>
      <x:c r="B2" s="11"/>
      <x:c r="C2" s="11"/>
      <x:c r="D2" s="11"/>
      <x:c r="E2" s="11"/>
      <x:c r="F2" s="11"/>
      <x:c r="G2" s="11"/>
      <x:c r="H2" s="11"/>
    </x:row>
    <x:row r="3">
      <x:c r="A3" s="58" t="str">
        <x:v>Código</x:v>
      </x:c>
      <x:c r="B3" s="32" t="str">
        <x:v>G4_GONOGO</x:v>
      </x:c>
      <x:c r="C3" s="32" t="str"/>
      <x:c r="D3" s="58" t="str">
        <x:v>Gate</x:v>
      </x:c>
      <x:c r="E3" s="32" t="str">
        <x:v>Gate 4 — Seleção e Teste</x:v>
      </x:c>
      <x:c r="F3" s="32" t="str"/>
      <x:c r="G3" s="58" t="str">
        <x:v>Tipo</x:v>
      </x:c>
      <x:c r="H3" s="32" t="str">
        <x:v>Decisão</x:v>
      </x:c>
    </x:row>
    <x:row r="4">
      <x:c r="A4" s="58" t="str">
        <x:v>Propósito</x:v>
      </x:c>
      <x:c r="B4" s="32" t="str">
        <x:v>Decidir se o conceito pode ser consolidado</x:v>
      </x:c>
      <x:c r="C4" s="32" t="str"/>
      <x:c r="D4" s="58" t="str">
        <x:v>Quando usar</x:v>
      </x:c>
      <x:c r="E4" s="32" t="str">
        <x:v>Conforme pacote inteligente / Mapa_Selecao</x:v>
      </x:c>
      <x:c r="F4" s="32" t="str"/>
      <x:c r="G4" s="58" t="str">
        <x:v>Observações</x:v>
      </x:c>
      <x:c r="H4" s="32" t="str">
        <x:v>Não substitui projeto detalhado; registra hipóteses, alertas e incertezas.</x:v>
      </x:c>
    </x:row>
    <x:row r="5">
      <x:c r="A5" s="58" t="str">
        <x:v>Produto</x:v>
      </x:c>
      <x:c r="B5" s="32" t="str">
        <x:f>IF(Dashboard!B4="","",Dashboard!B4)</x:f>
      </x:c>
      <x:c r="C5" s="32" t="str"/>
      <x:c r="D5" s="58" t="str">
        <x:v>Responsável</x:v>
      </x:c>
      <x:c r="E5" s="32" t="str">
        <x:f>IF(Dashboard!B6="","",Dashboard!B6)</x:f>
      </x:c>
      <x:c r="F5" s="32" t="str"/>
      <x:c r="G5" s="58" t="str">
        <x:v>Status</x:v>
      </x:c>
      <x:c r="H5" s="32" t="str"/>
    </x:row>
    <x:row r="6">
      <x:c r="A6" s="61" t="e">
        <x:f>HYPERLINK("#'Dashboard'!A1","← Dashboard")</x:f>
      </x:c>
      <x:c r="B6" s="61" t="e">
        <x:f>HYPERLINK("#'Indice'!A1","Índice")</x:f>
      </x:c>
      <x:c r="C6" s="61" t="e">
        <x:f>HYPERLINK("#'Mapa_Selecao'!A1","Mapa de seleção")</x:f>
      </x:c>
    </x:row>
    <x:row r="8">
      <x:c r="A8" s="66" t="str">
        <x:v>Matriz Go/No-Go — Gate 4</x:v>
      </x:c>
      <x:c r="B8" s="66" t="str"/>
      <x:c r="C8" s="66" t="str"/>
      <x:c r="D8" s="66" t="str"/>
      <x:c r="E8" s="66" t="str"/>
    </x:row>
    <x:row r="9">
      <x:c r="A9" s="20" t="str">
        <x:v>Critério</x:v>
      </x:c>
      <x:c r="B9" s="20" t="str">
        <x:v>Resposta</x:v>
      </x:c>
      <x:c r="C9" s="20" t="str">
        <x:v>Peso</x:v>
      </x:c>
      <x:c r="D9" s="20" t="str">
        <x:v>Pontuação</x:v>
      </x:c>
      <x:c r="E9" s="20" t="str">
        <x:v>Evidência / observação</x:v>
      </x:c>
    </x:row>
    <x:row r="10">
      <x:c r="A10" t="str">
        <x:v>Critérios de seleção definidos</x:v>
      </x:c>
      <x:c r="B10" t="str"/>
      <x:c r="C10" t="n">
        <x:v>1</x:v>
      </x:c>
      <x:c r="D10" t="n">
        <x:f>IF(B10="Sim",1,IF(B10="Parcial",0.5,IF(B10="Não",0,"")))*C10</x:f>
        <x:v>0</x:v>
      </x:c>
      <x:c r="E10" t="str"/>
    </x:row>
    <x:row r="11">
      <x:c r="A11" t="str">
        <x:v>Alternativas comparadas de forma estruturada</x:v>
      </x:c>
      <x:c r="B11" t="str"/>
      <x:c r="C11" t="n">
        <x:v>1</x:v>
      </x:c>
      <x:c r="D11" t="n">
        <x:f>IF(B11="Sim",1,IF(B11="Parcial",0.5,IF(B11="Não",0,"")))*C11</x:f>
        <x:v>0</x:v>
      </x:c>
      <x:c r="E11" t="str"/>
    </x:row>
    <x:row r="12">
      <x:c r="A12" t="str">
        <x:v>Conceito atende necessidades prioritárias</x:v>
      </x:c>
      <x:c r="B12" t="str"/>
      <x:c r="C12" t="n">
        <x:v>1</x:v>
      </x:c>
      <x:c r="D12" t="n">
        <x:f>IF(B12="Sim",1,IF(B12="Parcial",0.5,IF(B12="Não",0,"")))*C12</x:f>
        <x:v>0</x:v>
      </x:c>
      <x:c r="E12" t="str"/>
    </x:row>
    <x:row r="13">
      <x:c r="A13" t="str">
        <x:v>Conceito atende CTQs relevantes</x:v>
      </x:c>
      <x:c r="B13" t="str"/>
      <x:c r="C13" t="n">
        <x:v>1</x:v>
      </x:c>
      <x:c r="D13" t="n">
        <x:f>IF(B13="Sim",1,IF(B13="Parcial",0.5,IF(B13="Não",0,"")))*C13</x:f>
        <x:v>0</x:v>
      </x:c>
      <x:c r="E13" t="str"/>
    </x:row>
    <x:row r="14">
      <x:c r="A14" t="str">
        <x:v>Valor percebido avaliado</x:v>
      </x:c>
      <x:c r="B14" t="str"/>
      <x:c r="C14" t="n">
        <x:v>1</x:v>
      </x:c>
      <x:c r="D14" t="n">
        <x:f>IF(B14="Sim",1,IF(B14="Parcial",0.5,IF(B14="Não",0,"")))*C14</x:f>
        <x:v>0</x:v>
      </x:c>
      <x:c r="E14" t="str"/>
    </x:row>
    <x:row r="15">
      <x:c r="A15" t="str">
        <x:v>Incertezas do conceito registradas</x:v>
      </x:c>
      <x:c r="B15" t="str"/>
      <x:c r="C15" t="n">
        <x:v>1</x:v>
      </x:c>
      <x:c r="D15" t="n">
        <x:f>IF(B15="Sim",1,IF(B15="Parcial",0.5,IF(B15="Não",0,"")))*C15</x:f>
        <x:v>0</x:v>
      </x:c>
      <x:c r="E15" t="str"/>
    </x:row>
    <x:row r="16">
      <x:c r="A16" t="str">
        <x:v>Justificativa da escolha clara</x:v>
      </x:c>
      <x:c r="B16" t="str"/>
      <x:c r="C16" t="n">
        <x:v>1</x:v>
      </x:c>
      <x:c r="D16" t="n">
        <x:f>IF(B16="Sim",1,IF(B16="Parcial",0.5,IF(B16="Não",0,"")))*C16</x:f>
        <x:v>0</x:v>
      </x:c>
      <x:c r="E16" t="str"/>
    </x:row>
    <x:row r="18">
      <x:c r="A18" s="71" t="str">
        <x:v>Resultado ponderado</x:v>
      </x:c>
      <x:c r="B18" s="71" t="str"/>
      <x:c r="C18" s="71" t="str"/>
      <x:c r="D18" s="74" t="n">
        <x:f>IFERROR(SUM(D10:D16)/SUM(C10:C16),0)</x:f>
        <x:v>0</x:v>
      </x:c>
      <x:c r="E18" s="71" t="str"/>
    </x:row>
    <x:row r="19">
      <x:c r="A19" s="71" t="str">
        <x:v>Decisão sugerida</x:v>
      </x:c>
      <x:c r="B19" s="71" t="str"/>
      <x:c r="C19" s="71" t="str"/>
      <x:c r="D19" s="71" t="str">
        <x:f>IF(D18&gt;=0.75,"Go",IF(D18&gt;=0.55,"Revisar",IF(D18&gt;=0.4,"Pausar","No-Go")))</x:f>
        <x:v>No-Go</x:v>
      </x:c>
      <x:c r="E19" s="71" t="str"/>
    </x:row>
  </x:sheetData>
  <x:mergeCells>
    <x:mergeCell ref="A1:H1"/>
    <x:mergeCell ref="A2:H2"/>
    <x:mergeCell ref="A8:E8"/>
  </x:mergeCells>
  <x:dataValidations count="2">
    <x:dataValidation type="list" sqref="H5">
      <x:formula1>"Não iniciado,Em preenchimento,Em revisão,Concluído"</x:formula1>
    </x:dataValidation>
    <x:dataValidation type="list" sqref="B10:B16">
      <x:formula1>"Sim,Parcial,Não,N/A"</x:formula1>
    </x:dataValidation>
  </x:dataValidations>
  <x:pageMargins left="0.7" right="0.7" top="0.75" bottom="0.75" header="0.3" footer="0.3"/>
</x:worksheet>
</file>

<file path=xl/worksheets/sheet75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38" hidden="0" customWidth="1"/>
    <x:col min="3" max="3" width="28" hidden="0" customWidth="1"/>
    <x:col min="4" max="4" width="42" hidden="0" customWidth="1"/>
    <x:col min="5" max="5" width="18" hidden="0" customWidth="1"/>
    <x:col min="6" max="6" width="16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</x:cols>
  <x:sheetData>
    <x:row r="1">
      <x:c r="A1" s="4" t="str">
        <x:v>Declaração de missão do conceito</x:v>
      </x:c>
      <x:c r="B1" s="4"/>
      <x:c r="C1" s="4"/>
      <x:c r="D1" s="4"/>
      <x:c r="E1" s="4"/>
      <x:c r="F1" s="4"/>
      <x:c r="G1" s="4"/>
      <x:c r="H1" s="4"/>
    </x:row>
    <x:row r="2">
      <x:c r="A2" s="11" t="str">
        <x:v>Ferramenta do ciclo de idealização até conceito aprovado. Preencha somente quando aplicável ao produto.</x:v>
      </x:c>
      <x:c r="B2" s="11"/>
      <x:c r="C2" s="11"/>
      <x:c r="D2" s="11"/>
      <x:c r="E2" s="11"/>
      <x:c r="F2" s="11"/>
      <x:c r="G2" s="11"/>
      <x:c r="H2" s="11"/>
    </x:row>
    <x:row r="3">
      <x:c r="A3" s="58" t="str">
        <x:v>Código</x:v>
      </x:c>
      <x:c r="B3" s="32" t="str">
        <x:v>G5_MISSAO</x:v>
      </x:c>
      <x:c r="C3" s="32" t="str"/>
      <x:c r="D3" s="58" t="str">
        <x:v>Gate</x:v>
      </x:c>
      <x:c r="E3" s="32" t="str">
        <x:v>Gate 5 — Conceito Final Aprovado</x:v>
      </x:c>
      <x:c r="F3" s="32" t="str"/>
      <x:c r="G3" s="58" t="str">
        <x:v>Tipo</x:v>
      </x:c>
      <x:c r="H3" s="32" t="str">
        <x:v>Entregável</x:v>
      </x:c>
    </x:row>
    <x:row r="4">
      <x:c r="A4" s="58" t="str">
        <x:v>Propósito</x:v>
      </x:c>
      <x:c r="B4" s="32" t="str">
        <x:v>Consolidar objetivo, mercado, usuário e benefício</x:v>
      </x:c>
      <x:c r="C4" s="32" t="str"/>
      <x:c r="D4" s="58" t="str">
        <x:v>Quando usar</x:v>
      </x:c>
      <x:c r="E4" s="32" t="str">
        <x:v>Conforme pacote inteligente / Mapa_Selecao</x:v>
      </x:c>
      <x:c r="F4" s="32" t="str"/>
      <x:c r="G4" s="58" t="str">
        <x:v>Observações</x:v>
      </x:c>
      <x:c r="H4" s="32" t="str">
        <x:v>Não substitui projeto detalhado; registra hipóteses, alertas e incertezas.</x:v>
      </x:c>
    </x:row>
    <x:row r="5">
      <x:c r="A5" s="58" t="str">
        <x:v>Produto</x:v>
      </x:c>
      <x:c r="B5" s="32" t="str">
        <x:f>IF(Dashboard!B4="","",Dashboard!B4)</x:f>
      </x:c>
      <x:c r="C5" s="32" t="str"/>
      <x:c r="D5" s="58" t="str">
        <x:v>Responsável</x:v>
      </x:c>
      <x:c r="E5" s="32" t="str">
        <x:f>IF(Dashboard!B6="","",Dashboard!B6)</x:f>
      </x:c>
      <x:c r="F5" s="32" t="str"/>
      <x:c r="G5" s="58" t="str">
        <x:v>Status</x:v>
      </x:c>
      <x:c r="H5" s="32" t="str"/>
    </x:row>
    <x:row r="6">
      <x:c r="A6" s="61" t="e">
        <x:f>HYPERLINK("#'Dashboard'!A1","← Dashboard")</x:f>
      </x:c>
      <x:c r="B6" s="61" t="e">
        <x:f>HYPERLINK("#'Indice'!A1","Índice")</x:f>
      </x:c>
      <x:c r="C6" s="61" t="e">
        <x:f>HYPERLINK("#'Mapa_Selecao'!A1","Mapa de seleção")</x:f>
      </x:c>
    </x:row>
    <x:row r="8">
      <x:c r="A8" s="66" t="str">
        <x:v>Formulário de aplicação da ferramenta</x:v>
      </x:c>
      <x:c r="B8" s="66"/>
      <x:c r="C8" s="66"/>
      <x:c r="D8" s="66"/>
      <x:c r="E8" s="66"/>
      <x:c r="F8" s="66"/>
    </x:row>
    <x:row r="9">
      <x:c r="A9" s="20" t="str">
        <x:v>Item</x:v>
      </x:c>
      <x:c r="B9" s="20" t="str">
        <x:v>Pergunta / campo</x:v>
      </x:c>
      <x:c r="C9" s="20" t="str">
        <x:v>Resposta</x:v>
      </x:c>
      <x:c r="D9" s="20" t="str">
        <x:v>Evidência / observação</x:v>
      </x:c>
      <x:c r="E9" s="20" t="str">
        <x:v>Responsável</x:v>
      </x:c>
      <x:c r="F9" s="20" t="str">
        <x:v>Status</x:v>
      </x:c>
    </x:row>
    <x:row r="10">
      <x:c r="A10" s="32" t="str">
        <x:v>1</x:v>
      </x:c>
      <x:c r="B10" s="32" t="str">
        <x:v>Qual é o objetivo desta ferramenta para este produto?</x:v>
      </x:c>
      <x:c r="C10" s="32" t="str"/>
      <x:c r="D10" s="32" t="str"/>
      <x:c r="E10" s="32" t="str"/>
      <x:c r="F10" s="32" t="str"/>
    </x:row>
    <x:row r="11">
      <x:c r="A11" s="32" t="str">
        <x:v>2</x:v>
      </x:c>
      <x:c r="B11" s="32" t="str">
        <x:v>Quais informações já estão disponíveis?</x:v>
      </x:c>
      <x:c r="C11" s="32" t="str"/>
      <x:c r="D11" s="32" t="str"/>
      <x:c r="E11" s="32" t="str"/>
      <x:c r="F11" s="32" t="str"/>
    </x:row>
    <x:row r="12">
      <x:c r="A12" s="32" t="str">
        <x:v>3</x:v>
      </x:c>
      <x:c r="B12" s="32" t="str">
        <x:v>Quais informações ainda estão pendentes?</x:v>
      </x:c>
      <x:c r="C12" s="32" t="str"/>
      <x:c r="D12" s="32" t="str"/>
      <x:c r="E12" s="32" t="str"/>
      <x:c r="F12" s="32" t="str"/>
    </x:row>
    <x:row r="13">
      <x:c r="A13" s="32" t="str">
        <x:v>4</x:v>
      </x:c>
      <x:c r="B13" s="32" t="str">
        <x:v>Quais achados impactam o conceito?</x:v>
      </x:c>
      <x:c r="C13" s="32" t="str"/>
      <x:c r="D13" s="32" t="str"/>
      <x:c r="E13" s="32" t="str"/>
      <x:c r="F13" s="32" t="str"/>
    </x:row>
    <x:row r="14">
      <x:c r="A14" s="32" t="str">
        <x:v>5</x:v>
      </x:c>
      <x:c r="B14" s="32" t="str">
        <x:v>Quais incertezas devem seguir para o próximo Gate?</x:v>
      </x:c>
      <x:c r="C14" s="32" t="str"/>
      <x:c r="D14" s="32" t="str"/>
      <x:c r="E14" s="32" t="str"/>
      <x:c r="F14" s="32" t="str"/>
    </x:row>
    <x:row r="15">
      <x:c r="A15" s="32"/>
      <x:c r="B15" s="32"/>
      <x:c r="C15" s="32"/>
      <x:c r="D15" s="32"/>
      <x:c r="E15" s="32"/>
      <x:c r="F15" s="32"/>
    </x:row>
    <x:row r="16">
      <x:c r="A16" s="32"/>
      <x:c r="B16" s="32"/>
      <x:c r="C16" s="32"/>
      <x:c r="D16" s="32"/>
      <x:c r="E16" s="32"/>
      <x:c r="F16" s="32"/>
    </x:row>
    <x:row r="17">
      <x:c r="A17" s="32"/>
      <x:c r="B17" s="32"/>
      <x:c r="C17" s="32"/>
      <x:c r="D17" s="32"/>
      <x:c r="E17" s="32"/>
      <x:c r="F17" s="32"/>
    </x:row>
    <x:row r="18">
      <x:c r="A18" s="32"/>
      <x:c r="B18" s="32"/>
      <x:c r="C18" s="32"/>
      <x:c r="D18" s="32"/>
      <x:c r="E18" s="32"/>
      <x:c r="F18" s="32"/>
    </x:row>
    <x:row r="19">
      <x:c r="A19" s="32"/>
      <x:c r="B19" s="32"/>
      <x:c r="C19" s="32"/>
      <x:c r="D19" s="32"/>
      <x:c r="E19" s="32"/>
      <x:c r="F19" s="32"/>
    </x:row>
    <x:row r="20">
      <x:c r="A20" s="32"/>
      <x:c r="B20" s="32"/>
      <x:c r="C20" s="32"/>
      <x:c r="D20" s="32"/>
      <x:c r="E20" s="32"/>
      <x:c r="F20" s="32"/>
    </x:row>
  </x:sheetData>
  <x:mergeCells>
    <x:mergeCell ref="A1:H1"/>
    <x:mergeCell ref="A2:H2"/>
    <x:mergeCell ref="A8:F8"/>
  </x:mergeCells>
  <x:dataValidations count="2">
    <x:dataValidation type="list" sqref="H5">
      <x:formula1>"Não iniciado,Em preenchimento,Em revisão,Concluído"</x:formula1>
    </x:dataValidation>
    <x:dataValidation type="list" sqref="F10:F20">
      <x:formula1>"Não iniciado,Em preenchimento,Concluído,N/A"</x:formula1>
    </x:dataValidation>
  </x:dataValidations>
  <x:pageMargins left="0.7" right="0.7" top="0.75" bottom="0.75" header="0.3" footer="0.3"/>
</x:worksheet>
</file>

<file path=xl/worksheets/sheet76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38" hidden="0" customWidth="1"/>
    <x:col min="3" max="3" width="28" hidden="0" customWidth="1"/>
    <x:col min="4" max="4" width="42" hidden="0" customWidth="1"/>
    <x:col min="5" max="5" width="18" hidden="0" customWidth="1"/>
    <x:col min="6" max="6" width="16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</x:cols>
  <x:sheetData>
    <x:row r="1">
      <x:c r="A1" s="4" t="str">
        <x:v>Requisitos conceituais preliminares</x:v>
      </x:c>
      <x:c r="B1" s="4"/>
      <x:c r="C1" s="4"/>
      <x:c r="D1" s="4"/>
      <x:c r="E1" s="4"/>
      <x:c r="F1" s="4"/>
      <x:c r="G1" s="4"/>
      <x:c r="H1" s="4"/>
    </x:row>
    <x:row r="2">
      <x:c r="A2" s="11" t="str">
        <x:v>Ferramenta do ciclo de idealização até conceito aprovado. Preencha somente quando aplicável ao produto.</x:v>
      </x:c>
      <x:c r="B2" s="11"/>
      <x:c r="C2" s="11"/>
      <x:c r="D2" s="11"/>
      <x:c r="E2" s="11"/>
      <x:c r="F2" s="11"/>
      <x:c r="G2" s="11"/>
      <x:c r="H2" s="11"/>
    </x:row>
    <x:row r="3">
      <x:c r="A3" s="58" t="str">
        <x:v>Código</x:v>
      </x:c>
      <x:c r="B3" s="32" t="str">
        <x:v>G5_REQ</x:v>
      </x:c>
      <x:c r="C3" s="32" t="str"/>
      <x:c r="D3" s="58" t="str">
        <x:v>Gate</x:v>
      </x:c>
      <x:c r="E3" s="32" t="str">
        <x:v>Gate 5 — Conceito Final Aprovado</x:v>
      </x:c>
      <x:c r="F3" s="32" t="str"/>
      <x:c r="G3" s="58" t="str">
        <x:v>Tipo</x:v>
      </x:c>
      <x:c r="H3" s="32" t="str">
        <x:v>Entregável</x:v>
      </x:c>
    </x:row>
    <x:row r="4">
      <x:c r="A4" s="58" t="str">
        <x:v>Propósito</x:v>
      </x:c>
      <x:c r="B4" s="32" t="str">
        <x:v>Listar requisitos de alto nível</x:v>
      </x:c>
      <x:c r="C4" s="32" t="str"/>
      <x:c r="D4" s="58" t="str">
        <x:v>Quando usar</x:v>
      </x:c>
      <x:c r="E4" s="32" t="str">
        <x:v>Conforme pacote inteligente / Mapa_Selecao</x:v>
      </x:c>
      <x:c r="F4" s="32" t="str"/>
      <x:c r="G4" s="58" t="str">
        <x:v>Observações</x:v>
      </x:c>
      <x:c r="H4" s="32" t="str">
        <x:v>Não substitui projeto detalhado; registra hipóteses, alertas e incertezas.</x:v>
      </x:c>
    </x:row>
    <x:row r="5">
      <x:c r="A5" s="58" t="str">
        <x:v>Produto</x:v>
      </x:c>
      <x:c r="B5" s="32" t="str">
        <x:f>IF(Dashboard!B4="","",Dashboard!B4)</x:f>
      </x:c>
      <x:c r="C5" s="32" t="str"/>
      <x:c r="D5" s="58" t="str">
        <x:v>Responsável</x:v>
      </x:c>
      <x:c r="E5" s="32" t="str">
        <x:f>IF(Dashboard!B6="","",Dashboard!B6)</x:f>
      </x:c>
      <x:c r="F5" s="32" t="str"/>
      <x:c r="G5" s="58" t="str">
        <x:v>Status</x:v>
      </x:c>
      <x:c r="H5" s="32" t="str"/>
    </x:row>
    <x:row r="6">
      <x:c r="A6" s="61" t="e">
        <x:f>HYPERLINK("#'Dashboard'!A1","← Dashboard")</x:f>
      </x:c>
      <x:c r="B6" s="61" t="e">
        <x:f>HYPERLINK("#'Indice'!A1","Índice")</x:f>
      </x:c>
      <x:c r="C6" s="61" t="e">
        <x:f>HYPERLINK("#'Mapa_Selecao'!A1","Mapa de seleção")</x:f>
      </x:c>
    </x:row>
    <x:row r="8">
      <x:c r="A8" s="66" t="str">
        <x:v>Formulário de aplicação da ferramenta</x:v>
      </x:c>
      <x:c r="B8" s="66"/>
      <x:c r="C8" s="66"/>
      <x:c r="D8" s="66"/>
      <x:c r="E8" s="66"/>
      <x:c r="F8" s="66"/>
    </x:row>
    <x:row r="9">
      <x:c r="A9" s="20" t="str">
        <x:v>Item</x:v>
      </x:c>
      <x:c r="B9" s="20" t="str">
        <x:v>Pergunta / campo</x:v>
      </x:c>
      <x:c r="C9" s="20" t="str">
        <x:v>Resposta</x:v>
      </x:c>
      <x:c r="D9" s="20" t="str">
        <x:v>Evidência / observação</x:v>
      </x:c>
      <x:c r="E9" s="20" t="str">
        <x:v>Responsável</x:v>
      </x:c>
      <x:c r="F9" s="20" t="str">
        <x:v>Status</x:v>
      </x:c>
    </x:row>
    <x:row r="10">
      <x:c r="A10" s="32" t="str">
        <x:v>1</x:v>
      </x:c>
      <x:c r="B10" s="32" t="str">
        <x:v>Qual é o objetivo desta ferramenta para este produto?</x:v>
      </x:c>
      <x:c r="C10" s="32" t="str"/>
      <x:c r="D10" s="32" t="str"/>
      <x:c r="E10" s="32" t="str"/>
      <x:c r="F10" s="32" t="str"/>
    </x:row>
    <x:row r="11">
      <x:c r="A11" s="32" t="str">
        <x:v>2</x:v>
      </x:c>
      <x:c r="B11" s="32" t="str">
        <x:v>Quais informações já estão disponíveis?</x:v>
      </x:c>
      <x:c r="C11" s="32" t="str"/>
      <x:c r="D11" s="32" t="str"/>
      <x:c r="E11" s="32" t="str"/>
      <x:c r="F11" s="32" t="str"/>
    </x:row>
    <x:row r="12">
      <x:c r="A12" s="32" t="str">
        <x:v>3</x:v>
      </x:c>
      <x:c r="B12" s="32" t="str">
        <x:v>Quais informações ainda estão pendentes?</x:v>
      </x:c>
      <x:c r="C12" s="32" t="str"/>
      <x:c r="D12" s="32" t="str"/>
      <x:c r="E12" s="32" t="str"/>
      <x:c r="F12" s="32" t="str"/>
    </x:row>
    <x:row r="13">
      <x:c r="A13" s="32" t="str">
        <x:v>4</x:v>
      </x:c>
      <x:c r="B13" s="32" t="str">
        <x:v>Quais achados impactam o conceito?</x:v>
      </x:c>
      <x:c r="C13" s="32" t="str"/>
      <x:c r="D13" s="32" t="str"/>
      <x:c r="E13" s="32" t="str"/>
      <x:c r="F13" s="32" t="str"/>
    </x:row>
    <x:row r="14">
      <x:c r="A14" s="32" t="str">
        <x:v>5</x:v>
      </x:c>
      <x:c r="B14" s="32" t="str">
        <x:v>Quais incertezas devem seguir para o próximo Gate?</x:v>
      </x:c>
      <x:c r="C14" s="32" t="str"/>
      <x:c r="D14" s="32" t="str"/>
      <x:c r="E14" s="32" t="str"/>
      <x:c r="F14" s="32" t="str"/>
    </x:row>
    <x:row r="15">
      <x:c r="A15" s="32"/>
      <x:c r="B15" s="32"/>
      <x:c r="C15" s="32"/>
      <x:c r="D15" s="32"/>
      <x:c r="E15" s="32"/>
      <x:c r="F15" s="32"/>
    </x:row>
    <x:row r="16">
      <x:c r="A16" s="32"/>
      <x:c r="B16" s="32"/>
      <x:c r="C16" s="32"/>
      <x:c r="D16" s="32"/>
      <x:c r="E16" s="32"/>
      <x:c r="F16" s="32"/>
    </x:row>
    <x:row r="17">
      <x:c r="A17" s="32"/>
      <x:c r="B17" s="32"/>
      <x:c r="C17" s="32"/>
      <x:c r="D17" s="32"/>
      <x:c r="E17" s="32"/>
      <x:c r="F17" s="32"/>
    </x:row>
    <x:row r="18">
      <x:c r="A18" s="32"/>
      <x:c r="B18" s="32"/>
      <x:c r="C18" s="32"/>
      <x:c r="D18" s="32"/>
      <x:c r="E18" s="32"/>
      <x:c r="F18" s="32"/>
    </x:row>
    <x:row r="19">
      <x:c r="A19" s="32"/>
      <x:c r="B19" s="32"/>
      <x:c r="C19" s="32"/>
      <x:c r="D19" s="32"/>
      <x:c r="E19" s="32"/>
      <x:c r="F19" s="32"/>
    </x:row>
    <x:row r="20">
      <x:c r="A20" s="32"/>
      <x:c r="B20" s="32"/>
      <x:c r="C20" s="32"/>
      <x:c r="D20" s="32"/>
      <x:c r="E20" s="32"/>
      <x:c r="F20" s="32"/>
    </x:row>
  </x:sheetData>
  <x:mergeCells>
    <x:mergeCell ref="A1:H1"/>
    <x:mergeCell ref="A2:H2"/>
    <x:mergeCell ref="A8:F8"/>
  </x:mergeCells>
  <x:dataValidations count="2">
    <x:dataValidation type="list" sqref="H5">
      <x:formula1>"Não iniciado,Em preenchimento,Em revisão,Concluído"</x:formula1>
    </x:dataValidation>
    <x:dataValidation type="list" sqref="F10:F20">
      <x:formula1>"Não iniciado,Em preenchimento,Concluído,N/A"</x:formula1>
    </x:dataValidation>
  </x:dataValidations>
  <x:pageMargins left="0.7" right="0.7" top="0.75" bottom="0.75" header="0.3" footer="0.3"/>
</x:worksheet>
</file>

<file path=xl/worksheets/sheet77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38" hidden="0" customWidth="1"/>
    <x:col min="3" max="3" width="28" hidden="0" customWidth="1"/>
    <x:col min="4" max="4" width="42" hidden="0" customWidth="1"/>
    <x:col min="5" max="5" width="18" hidden="0" customWidth="1"/>
    <x:col min="6" max="6" width="16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</x:cols>
  <x:sheetData>
    <x:row r="1">
      <x:c r="A1" s="4" t="str">
        <x:v>User Needs Statement</x:v>
      </x:c>
      <x:c r="B1" s="4"/>
      <x:c r="C1" s="4"/>
      <x:c r="D1" s="4"/>
      <x:c r="E1" s="4"/>
      <x:c r="F1" s="4"/>
      <x:c r="G1" s="4"/>
      <x:c r="H1" s="4"/>
    </x:row>
    <x:row r="2">
      <x:c r="A2" s="11" t="str">
        <x:v>Ferramenta do ciclo de idealização até conceito aprovado. Preencha somente quando aplicável ao produto.</x:v>
      </x:c>
      <x:c r="B2" s="11"/>
      <x:c r="C2" s="11"/>
      <x:c r="D2" s="11"/>
      <x:c r="E2" s="11"/>
      <x:c r="F2" s="11"/>
      <x:c r="G2" s="11"/>
      <x:c r="H2" s="11"/>
    </x:row>
    <x:row r="3">
      <x:c r="A3" s="58" t="str">
        <x:v>Código</x:v>
      </x:c>
      <x:c r="B3" s="32" t="str">
        <x:v>G5_UNS</x:v>
      </x:c>
      <x:c r="C3" s="32" t="str"/>
      <x:c r="D3" s="58" t="str">
        <x:v>Gate</x:v>
      </x:c>
      <x:c r="E3" s="32" t="str">
        <x:v>Gate 5 — Conceito Final Aprovado</x:v>
      </x:c>
      <x:c r="F3" s="32" t="str"/>
      <x:c r="G3" s="58" t="str">
        <x:v>Tipo</x:v>
      </x:c>
      <x:c r="H3" s="32" t="str">
        <x:v>Entregável</x:v>
      </x:c>
    </x:row>
    <x:row r="4">
      <x:c r="A4" s="58" t="str">
        <x:v>Propósito</x:v>
      </x:c>
      <x:c r="B4" s="32" t="str">
        <x:v>Formalizar necessidades do usuário</x:v>
      </x:c>
      <x:c r="C4" s="32" t="str"/>
      <x:c r="D4" s="58" t="str">
        <x:v>Quando usar</x:v>
      </x:c>
      <x:c r="E4" s="32" t="str">
        <x:v>Conforme pacote inteligente / Mapa_Selecao</x:v>
      </x:c>
      <x:c r="F4" s="32" t="str"/>
      <x:c r="G4" s="58" t="str">
        <x:v>Observações</x:v>
      </x:c>
      <x:c r="H4" s="32" t="str">
        <x:v>Não substitui projeto detalhado; registra hipóteses, alertas e incertezas.</x:v>
      </x:c>
    </x:row>
    <x:row r="5">
      <x:c r="A5" s="58" t="str">
        <x:v>Produto</x:v>
      </x:c>
      <x:c r="B5" s="32" t="str">
        <x:f>IF(Dashboard!B4="","",Dashboard!B4)</x:f>
      </x:c>
      <x:c r="C5" s="32" t="str"/>
      <x:c r="D5" s="58" t="str">
        <x:v>Responsável</x:v>
      </x:c>
      <x:c r="E5" s="32" t="str">
        <x:f>IF(Dashboard!B6="","",Dashboard!B6)</x:f>
      </x:c>
      <x:c r="F5" s="32" t="str"/>
      <x:c r="G5" s="58" t="str">
        <x:v>Status</x:v>
      </x:c>
      <x:c r="H5" s="32" t="str"/>
    </x:row>
    <x:row r="6">
      <x:c r="A6" s="61" t="e">
        <x:f>HYPERLINK("#'Dashboard'!A1","← Dashboard")</x:f>
      </x:c>
      <x:c r="B6" s="61" t="e">
        <x:f>HYPERLINK("#'Indice'!A1","Índice")</x:f>
      </x:c>
      <x:c r="C6" s="61" t="e">
        <x:f>HYPERLINK("#'Mapa_Selecao'!A1","Mapa de seleção")</x:f>
      </x:c>
    </x:row>
    <x:row r="8">
      <x:c r="A8" s="66" t="str">
        <x:v>Formulário de aplicação da ferramenta</x:v>
      </x:c>
      <x:c r="B8" s="66"/>
      <x:c r="C8" s="66"/>
      <x:c r="D8" s="66"/>
      <x:c r="E8" s="66"/>
      <x:c r="F8" s="66"/>
    </x:row>
    <x:row r="9">
      <x:c r="A9" s="20" t="str">
        <x:v>Item</x:v>
      </x:c>
      <x:c r="B9" s="20" t="str">
        <x:v>Pergunta / campo</x:v>
      </x:c>
      <x:c r="C9" s="20" t="str">
        <x:v>Resposta</x:v>
      </x:c>
      <x:c r="D9" s="20" t="str">
        <x:v>Evidência / observação</x:v>
      </x:c>
      <x:c r="E9" s="20" t="str">
        <x:v>Responsável</x:v>
      </x:c>
      <x:c r="F9" s="20" t="str">
        <x:v>Status</x:v>
      </x:c>
    </x:row>
    <x:row r="10">
      <x:c r="A10" s="32" t="str">
        <x:v>1</x:v>
      </x:c>
      <x:c r="B10" s="32" t="str">
        <x:v>Qual é o objetivo desta ferramenta para este produto?</x:v>
      </x:c>
      <x:c r="C10" s="32" t="str"/>
      <x:c r="D10" s="32" t="str"/>
      <x:c r="E10" s="32" t="str"/>
      <x:c r="F10" s="32" t="str"/>
    </x:row>
    <x:row r="11">
      <x:c r="A11" s="32" t="str">
        <x:v>2</x:v>
      </x:c>
      <x:c r="B11" s="32" t="str">
        <x:v>Quais informações já estão disponíveis?</x:v>
      </x:c>
      <x:c r="C11" s="32" t="str"/>
      <x:c r="D11" s="32" t="str"/>
      <x:c r="E11" s="32" t="str"/>
      <x:c r="F11" s="32" t="str"/>
    </x:row>
    <x:row r="12">
      <x:c r="A12" s="32" t="str">
        <x:v>3</x:v>
      </x:c>
      <x:c r="B12" s="32" t="str">
        <x:v>Quais informações ainda estão pendentes?</x:v>
      </x:c>
      <x:c r="C12" s="32" t="str"/>
      <x:c r="D12" s="32" t="str"/>
      <x:c r="E12" s="32" t="str"/>
      <x:c r="F12" s="32" t="str"/>
    </x:row>
    <x:row r="13">
      <x:c r="A13" s="32" t="str">
        <x:v>4</x:v>
      </x:c>
      <x:c r="B13" s="32" t="str">
        <x:v>Quais achados impactam o conceito?</x:v>
      </x:c>
      <x:c r="C13" s="32" t="str"/>
      <x:c r="D13" s="32" t="str"/>
      <x:c r="E13" s="32" t="str"/>
      <x:c r="F13" s="32" t="str"/>
    </x:row>
    <x:row r="14">
      <x:c r="A14" s="32" t="str">
        <x:v>5</x:v>
      </x:c>
      <x:c r="B14" s="32" t="str">
        <x:v>Quais incertezas devem seguir para o próximo Gate?</x:v>
      </x:c>
      <x:c r="C14" s="32" t="str"/>
      <x:c r="D14" s="32" t="str"/>
      <x:c r="E14" s="32" t="str"/>
      <x:c r="F14" s="32" t="str"/>
    </x:row>
    <x:row r="15">
      <x:c r="A15" s="32"/>
      <x:c r="B15" s="32"/>
      <x:c r="C15" s="32"/>
      <x:c r="D15" s="32"/>
      <x:c r="E15" s="32"/>
      <x:c r="F15" s="32"/>
    </x:row>
    <x:row r="16">
      <x:c r="A16" s="32"/>
      <x:c r="B16" s="32"/>
      <x:c r="C16" s="32"/>
      <x:c r="D16" s="32"/>
      <x:c r="E16" s="32"/>
      <x:c r="F16" s="32"/>
    </x:row>
    <x:row r="17">
      <x:c r="A17" s="32"/>
      <x:c r="B17" s="32"/>
      <x:c r="C17" s="32"/>
      <x:c r="D17" s="32"/>
      <x:c r="E17" s="32"/>
      <x:c r="F17" s="32"/>
    </x:row>
    <x:row r="18">
      <x:c r="A18" s="32"/>
      <x:c r="B18" s="32"/>
      <x:c r="C18" s="32"/>
      <x:c r="D18" s="32"/>
      <x:c r="E18" s="32"/>
      <x:c r="F18" s="32"/>
    </x:row>
    <x:row r="19">
      <x:c r="A19" s="32"/>
      <x:c r="B19" s="32"/>
      <x:c r="C19" s="32"/>
      <x:c r="D19" s="32"/>
      <x:c r="E19" s="32"/>
      <x:c r="F19" s="32"/>
    </x:row>
    <x:row r="20">
      <x:c r="A20" s="32"/>
      <x:c r="B20" s="32"/>
      <x:c r="C20" s="32"/>
      <x:c r="D20" s="32"/>
      <x:c r="E20" s="32"/>
      <x:c r="F20" s="32"/>
    </x:row>
  </x:sheetData>
  <x:mergeCells>
    <x:mergeCell ref="A1:H1"/>
    <x:mergeCell ref="A2:H2"/>
    <x:mergeCell ref="A8:F8"/>
  </x:mergeCells>
  <x:dataValidations count="2">
    <x:dataValidation type="list" sqref="H5">
      <x:formula1>"Não iniciado,Em preenchimento,Em revisão,Concluído"</x:formula1>
    </x:dataValidation>
    <x:dataValidation type="list" sqref="F10:F20">
      <x:formula1>"Não iniciado,Em preenchimento,Concluído,N/A"</x:formula1>
    </x:dataValidation>
  </x:dataValidations>
  <x:pageMargins left="0.7" right="0.7" top="0.75" bottom="0.75" header="0.3" footer="0.3"/>
</x:worksheet>
</file>

<file path=xl/worksheets/sheet78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34" hidden="0" customWidth="1"/>
    <x:col min="3" max="3" width="16" hidden="0" customWidth="1"/>
    <x:col min="4" max="4" width="14" hidden="0" customWidth="1"/>
    <x:col min="5" max="5" width="38" hidden="0" customWidth="1"/>
    <x:col min="6" max="6" width="38" hidden="0" customWidth="1"/>
    <x:col min="7" max="7" width="32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</x:cols>
  <x:sheetData>
    <x:row r="1">
      <x:c r="A1" s="4" t="str">
        <x:v>CTQ consolidado do conceito</x:v>
      </x:c>
      <x:c r="B1" s="4"/>
      <x:c r="C1" s="4"/>
      <x:c r="D1" s="4"/>
      <x:c r="E1" s="4"/>
      <x:c r="F1" s="4"/>
      <x:c r="G1" s="4"/>
      <x:c r="H1" s="4"/>
    </x:row>
    <x:row r="2">
      <x:c r="A2" s="11" t="str">
        <x:v>Ferramenta do ciclo de idealização até conceito aprovado. Preencha somente quando aplicável ao produto.</x:v>
      </x:c>
      <x:c r="B2" s="11"/>
      <x:c r="C2" s="11"/>
      <x:c r="D2" s="11"/>
      <x:c r="E2" s="11"/>
      <x:c r="F2" s="11"/>
      <x:c r="G2" s="11"/>
      <x:c r="H2" s="11"/>
    </x:row>
    <x:row r="3">
      <x:c r="A3" s="58" t="str">
        <x:v>Código</x:v>
      </x:c>
      <x:c r="B3" s="32" t="str">
        <x:v>G5_CTQ</x:v>
      </x:c>
      <x:c r="C3" s="32" t="str"/>
      <x:c r="D3" s="58" t="str">
        <x:v>Gate</x:v>
      </x:c>
      <x:c r="E3" s="32" t="str">
        <x:v>Gate 5 — Conceito Final Aprovado</x:v>
      </x:c>
      <x:c r="F3" s="32" t="str"/>
      <x:c r="G3" s="58" t="str">
        <x:v>Tipo</x:v>
      </x:c>
      <x:c r="H3" s="32" t="str">
        <x:v>Entregável</x:v>
      </x:c>
    </x:row>
    <x:row r="4">
      <x:c r="A4" s="58" t="str">
        <x:v>Propósito</x:v>
      </x:c>
      <x:c r="B4" s="32" t="str">
        <x:v>Registrar atributos críticos escolhidos</x:v>
      </x:c>
      <x:c r="C4" s="32" t="str"/>
      <x:c r="D4" s="58" t="str">
        <x:v>Quando usar</x:v>
      </x:c>
      <x:c r="E4" s="32" t="str">
        <x:v>Conforme pacote inteligente / Mapa_Selecao</x:v>
      </x:c>
      <x:c r="F4" s="32" t="str"/>
      <x:c r="G4" s="58" t="str">
        <x:v>Observações</x:v>
      </x:c>
      <x:c r="H4" s="32" t="str">
        <x:v>Não substitui projeto detalhado; registra hipóteses, alertas e incertezas.</x:v>
      </x:c>
    </x:row>
    <x:row r="5">
      <x:c r="A5" s="58" t="str">
        <x:v>Produto</x:v>
      </x:c>
      <x:c r="B5" s="32" t="str">
        <x:f>IF(Dashboard!B4="","",Dashboard!B4)</x:f>
      </x:c>
      <x:c r="C5" s="32" t="str"/>
      <x:c r="D5" s="58" t="str">
        <x:v>Responsável</x:v>
      </x:c>
      <x:c r="E5" s="32" t="str">
        <x:f>IF(Dashboard!B6="","",Dashboard!B6)</x:f>
      </x:c>
      <x:c r="F5" s="32" t="str"/>
      <x:c r="G5" s="58" t="str">
        <x:v>Status</x:v>
      </x:c>
      <x:c r="H5" s="32" t="str"/>
    </x:row>
    <x:row r="6">
      <x:c r="A6" s="61" t="e">
        <x:f>HYPERLINK("#'Dashboard'!A1","← Dashboard")</x:f>
      </x:c>
      <x:c r="B6" s="61" t="e">
        <x:f>HYPERLINK("#'Indice'!A1","Índice")</x:f>
      </x:c>
      <x:c r="C6" s="61" t="e">
        <x:f>HYPERLINK("#'Mapa_Selecao'!A1","Mapa de seleção")</x:f>
      </x:c>
    </x:row>
    <x:row r="8">
      <x:c r="A8" s="66" t="str">
        <x:v>CTQ — Critical to Quality em nível conceitual</x:v>
      </x:c>
      <x:c r="B8" s="66"/>
      <x:c r="C8" s="66"/>
      <x:c r="D8" s="66"/>
      <x:c r="E8" s="66"/>
      <x:c r="F8" s="66"/>
      <x:c r="G8" s="66"/>
      <x:c r="H8" s="66"/>
    </x:row>
    <x:row r="9">
      <x:c r="A9" s="20" t="str">
        <x:v>Necessidade associada</x:v>
      </x:c>
      <x:c r="B9" s="20" t="str">
        <x:v>CTQ / atributo crítico</x:v>
      </x:c>
      <x:c r="C9" s="20" t="str">
        <x:v>Tipo</x:v>
      </x:c>
      <x:c r="D9" s="20" t="str">
        <x:v>Prioridade</x:v>
      </x:c>
      <x:c r="E9" s="20" t="str">
        <x:v>Critério conceitual</x:v>
      </x:c>
      <x:c r="F9" s="20" t="str">
        <x:v>Como será investigado</x:v>
      </x:c>
      <x:c r="G9" s="20" t="str">
        <x:v>Incerteza associada</x:v>
      </x:c>
      <x:c r="H9" s="20" t="str">
        <x:v>Responsável</x:v>
      </x:c>
    </x:row>
    <x:row r="10">
      <x:c r="A10" s="37" t="str"/>
      <x:c r="B10" s="37" t="str"/>
      <x:c r="C10" s="37" t="str"/>
      <x:c r="D10" s="37" t="str"/>
      <x:c r="E10" s="37" t="str"/>
      <x:c r="F10" s="37" t="str"/>
      <x:c r="G10" s="37" t="str"/>
      <x:c r="H10" s="37" t="str"/>
    </x:row>
    <x:row r="11">
      <x:c r="A11" s="37" t="str"/>
      <x:c r="B11" s="37" t="str"/>
      <x:c r="C11" s="37" t="str"/>
      <x:c r="D11" s="37" t="str"/>
      <x:c r="E11" s="37" t="str"/>
      <x:c r="F11" s="37" t="str"/>
      <x:c r="G11" s="37" t="str"/>
      <x:c r="H11" s="37" t="str"/>
    </x:row>
    <x:row r="12">
      <x:c r="A12" s="37" t="str"/>
      <x:c r="B12" s="37" t="str"/>
      <x:c r="C12" s="37" t="str"/>
      <x:c r="D12" s="37" t="str"/>
      <x:c r="E12" s="37" t="str"/>
      <x:c r="F12" s="37" t="str"/>
      <x:c r="G12" s="37" t="str"/>
      <x:c r="H12" s="37" t="str"/>
    </x:row>
    <x:row r="13">
      <x:c r="A13" s="37" t="str"/>
      <x:c r="B13" s="37" t="str"/>
      <x:c r="C13" s="37" t="str"/>
      <x:c r="D13" s="37" t="str"/>
      <x:c r="E13" s="37" t="str"/>
      <x:c r="F13" s="37" t="str"/>
      <x:c r="G13" s="37" t="str"/>
      <x:c r="H13" s="37" t="str"/>
    </x:row>
    <x:row r="14">
      <x:c r="A14" s="37" t="str"/>
      <x:c r="B14" s="37" t="str"/>
      <x:c r="C14" s="37" t="str"/>
      <x:c r="D14" s="37" t="str"/>
      <x:c r="E14" s="37" t="str"/>
      <x:c r="F14" s="37" t="str"/>
      <x:c r="G14" s="37" t="str"/>
      <x:c r="H14" s="37" t="str"/>
    </x:row>
    <x:row r="15">
      <x:c r="A15" s="37" t="str"/>
      <x:c r="B15" s="37" t="str"/>
      <x:c r="C15" s="37" t="str"/>
      <x:c r="D15" s="37" t="str"/>
      <x:c r="E15" s="37" t="str"/>
      <x:c r="F15" s="37" t="str"/>
      <x:c r="G15" s="37" t="str"/>
      <x:c r="H15" s="37" t="str"/>
    </x:row>
    <x:row r="16">
      <x:c r="A16" s="37" t="str"/>
      <x:c r="B16" s="37" t="str"/>
      <x:c r="C16" s="37" t="str"/>
      <x:c r="D16" s="37" t="str"/>
      <x:c r="E16" s="37" t="str"/>
      <x:c r="F16" s="37" t="str"/>
      <x:c r="G16" s="37" t="str"/>
      <x:c r="H16" s="37" t="str"/>
    </x:row>
    <x:row r="17">
      <x:c r="A17" s="37" t="str"/>
      <x:c r="B17" s="37" t="str"/>
      <x:c r="C17" s="37" t="str"/>
      <x:c r="D17" s="37" t="str"/>
      <x:c r="E17" s="37" t="str"/>
      <x:c r="F17" s="37" t="str"/>
      <x:c r="G17" s="37" t="str"/>
      <x:c r="H17" s="37" t="str"/>
    </x:row>
    <x:row r="18">
      <x:c r="A18" s="37" t="str"/>
      <x:c r="B18" s="37" t="str"/>
      <x:c r="C18" s="37" t="str"/>
      <x:c r="D18" s="37" t="str"/>
      <x:c r="E18" s="37" t="str"/>
      <x:c r="F18" s="37" t="str"/>
      <x:c r="G18" s="37" t="str"/>
      <x:c r="H18" s="37" t="str"/>
    </x:row>
    <x:row r="19">
      <x:c r="A19" s="37" t="str"/>
      <x:c r="B19" s="37" t="str"/>
      <x:c r="C19" s="37" t="str"/>
      <x:c r="D19" s="37" t="str"/>
      <x:c r="E19" s="37" t="str"/>
      <x:c r="F19" s="37" t="str"/>
      <x:c r="G19" s="37" t="str"/>
      <x:c r="H19" s="37" t="str"/>
    </x:row>
    <x:row r="20">
      <x:c r="A20" s="37" t="str"/>
      <x:c r="B20" s="37" t="str"/>
      <x:c r="C20" s="37" t="str"/>
      <x:c r="D20" s="37" t="str"/>
      <x:c r="E20" s="37" t="str"/>
      <x:c r="F20" s="37" t="str"/>
      <x:c r="G20" s="37" t="str"/>
      <x:c r="H20" s="37" t="str"/>
    </x:row>
    <x:row r="21">
      <x:c r="A21" s="37" t="str"/>
      <x:c r="B21" s="37" t="str"/>
      <x:c r="C21" s="37" t="str"/>
      <x:c r="D21" s="37" t="str"/>
      <x:c r="E21" s="37" t="str"/>
      <x:c r="F21" s="37" t="str"/>
      <x:c r="G21" s="37" t="str"/>
      <x:c r="H21" s="37" t="str"/>
    </x:row>
    <x:row r="22">
      <x:c r="A22" s="37" t="str"/>
      <x:c r="B22" s="37" t="str"/>
      <x:c r="C22" s="37" t="str"/>
      <x:c r="D22" s="37" t="str"/>
      <x:c r="E22" s="37" t="str"/>
      <x:c r="F22" s="37" t="str"/>
      <x:c r="G22" s="37" t="str"/>
      <x:c r="H22" s="37" t="str"/>
    </x:row>
    <x:row r="23">
      <x:c r="A23" s="37" t="str"/>
      <x:c r="B23" s="37" t="str"/>
      <x:c r="C23" s="37" t="str"/>
      <x:c r="D23" s="37" t="str"/>
      <x:c r="E23" s="37" t="str"/>
      <x:c r="F23" s="37" t="str"/>
      <x:c r="G23" s="37" t="str"/>
      <x:c r="H23" s="37" t="str"/>
    </x:row>
    <x:row r="24">
      <x:c r="A24" s="37" t="str"/>
      <x:c r="B24" s="37" t="str"/>
      <x:c r="C24" s="37" t="str"/>
      <x:c r="D24" s="37" t="str"/>
      <x:c r="E24" s="37" t="str"/>
      <x:c r="F24" s="37" t="str"/>
      <x:c r="G24" s="37" t="str"/>
      <x:c r="H24" s="37" t="str"/>
    </x:row>
    <x:row r="25">
      <x:c r="A25" s="37" t="str"/>
      <x:c r="B25" s="37" t="str"/>
      <x:c r="C25" s="37" t="str"/>
      <x:c r="D25" s="37" t="str"/>
      <x:c r="E25" s="37" t="str"/>
      <x:c r="F25" s="37" t="str"/>
      <x:c r="G25" s="37" t="str"/>
      <x:c r="H25" s="37" t="str"/>
    </x:row>
    <x:row r="26">
      <x:c r="A26" s="37" t="str"/>
      <x:c r="B26" s="37" t="str"/>
      <x:c r="C26" s="37" t="str"/>
      <x:c r="D26" s="37" t="str"/>
      <x:c r="E26" s="37" t="str"/>
      <x:c r="F26" s="37" t="str"/>
      <x:c r="G26" s="37" t="str"/>
      <x:c r="H26" s="37" t="str"/>
    </x:row>
    <x:row r="27">
      <x:c r="A27" s="37" t="str"/>
      <x:c r="B27" s="37" t="str"/>
      <x:c r="C27" s="37" t="str"/>
      <x:c r="D27" s="37" t="str"/>
      <x:c r="E27" s="37" t="str"/>
      <x:c r="F27" s="37" t="str"/>
      <x:c r="G27" s="37" t="str"/>
      <x:c r="H27" s="37" t="str"/>
    </x:row>
  </x:sheetData>
  <x:mergeCells>
    <x:mergeCell ref="A1:H1"/>
    <x:mergeCell ref="A2:H2"/>
    <x:mergeCell ref="A8:H8"/>
  </x:mergeCells>
  <x:dataValidations count="3">
    <x:dataValidation type="list" sqref="H5">
      <x:formula1>"Não iniciado,Em preenchimento,Em revisão,Concluído"</x:formula1>
    </x:dataValidation>
    <x:dataValidation type="list" sqref="C10:C27">
      <x:formula1>"Segurança,Desempenho,Usabilidade,Regulatório,Econômico,Produto"</x:formula1>
    </x:dataValidation>
    <x:dataValidation type="list" sqref="D10:D27">
      <x:formula1>"Alta,Média,Baixa"</x:formula1>
    </x:dataValidation>
  </x:dataValidations>
  <x:pageMargins left="0.7" right="0.7" top="0.75" bottom="0.75" header="0.3" footer="0.3"/>
</x:worksheet>
</file>

<file path=xl/worksheets/sheet79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42" hidden="0" customWidth="1"/>
    <x:col min="3" max="3" width="14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18" hidden="0" customWidth="1"/>
    <x:col min="13" max="13" width="30" hidden="0" customWidth="1"/>
    <x:col min="14" max="14" width="18" hidden="0" customWidth="1"/>
  </x:cols>
  <x:sheetData>
    <x:row r="1">
      <x:c r="A1" s="4" t="str">
        <x:v>QFD conceitual consolidado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4"/>
      <x:c r="N1" s="4"/>
    </x:row>
    <x:row r="2">
      <x:c r="A2" s="11" t="str">
        <x:v>Ferramenta do ciclo de idealização até conceito aprovado. Preencha somente quando aplicável ao produto.</x:v>
      </x:c>
      <x:c r="B2" s="11"/>
      <x:c r="C2" s="11"/>
      <x:c r="D2" s="11"/>
      <x:c r="E2" s="11"/>
      <x:c r="F2" s="11"/>
      <x:c r="G2" s="11"/>
      <x:c r="H2" s="11"/>
      <x:c r="I2" s="11"/>
      <x:c r="J2" s="11"/>
      <x:c r="K2" s="11"/>
      <x:c r="L2" s="11"/>
      <x:c r="M2" s="11"/>
      <x:c r="N2" s="11"/>
    </x:row>
    <x:row r="3">
      <x:c r="A3" s="58" t="str">
        <x:v>Código</x:v>
      </x:c>
      <x:c r="B3" s="32" t="str">
        <x:v>G5_QFD</x:v>
      </x:c>
      <x:c r="C3" s="32" t="str"/>
      <x:c r="D3" s="58" t="str">
        <x:v>Gate</x:v>
      </x:c>
      <x:c r="E3" s="32" t="str">
        <x:v>Gate 5 — Conceito Final Aprovado</x:v>
      </x:c>
      <x:c r="F3" s="32" t="str"/>
      <x:c r="G3" s="58" t="str">
        <x:v>Tipo</x:v>
      </x:c>
      <x:c r="H3" s="32" t="str">
        <x:v>Entregável</x:v>
      </x:c>
    </x:row>
    <x:row r="4">
      <x:c r="A4" s="58" t="str">
        <x:v>Propósito</x:v>
      </x:c>
      <x:c r="B4" s="32" t="str">
        <x:v>Registrar relação necessidade × requisito</x:v>
      </x:c>
      <x:c r="C4" s="32" t="str"/>
      <x:c r="D4" s="58" t="str">
        <x:v>Quando usar</x:v>
      </x:c>
      <x:c r="E4" s="32" t="str">
        <x:v>Conforme pacote inteligente / Mapa_Selecao</x:v>
      </x:c>
      <x:c r="F4" s="32" t="str"/>
      <x:c r="G4" s="58" t="str">
        <x:v>Observações</x:v>
      </x:c>
      <x:c r="H4" s="32" t="str">
        <x:v>Não substitui projeto detalhado; registra hipóteses, alertas e incertezas.</x:v>
      </x:c>
    </x:row>
    <x:row r="5">
      <x:c r="A5" s="58" t="str">
        <x:v>Produto</x:v>
      </x:c>
      <x:c r="B5" s="32" t="str">
        <x:f>IF(Dashboard!B4="","",Dashboard!B4)</x:f>
      </x:c>
      <x:c r="C5" s="32" t="str"/>
      <x:c r="D5" s="58" t="str">
        <x:v>Responsável</x:v>
      </x:c>
      <x:c r="E5" s="32" t="str">
        <x:f>IF(Dashboard!B6="","",Dashboard!B6)</x:f>
      </x:c>
      <x:c r="F5" s="32" t="str"/>
      <x:c r="G5" s="58" t="str">
        <x:v>Status</x:v>
      </x:c>
      <x:c r="H5" s="32" t="str"/>
    </x:row>
    <x:row r="6">
      <x:c r="A6" s="61" t="e">
        <x:f>HYPERLINK("#'Dashboard'!A1","← Dashboard")</x:f>
      </x:c>
      <x:c r="B6" s="61" t="e">
        <x:f>HYPERLINK("#'Indice'!A1","Índice")</x:f>
      </x:c>
      <x:c r="C6" s="61" t="e">
        <x:f>HYPERLINK("#'Mapa_Selecao'!A1","Mapa de seleção")</x:f>
      </x:c>
    </x:row>
    <x:row r="8">
      <x:c r="A8" s="66" t="str">
        <x:v>QFD conceitual — Casa da Qualidade simplificada</x:v>
      </x:c>
      <x:c r="B8" s="66" t="str"/>
      <x:c r="C8" s="66" t="str"/>
      <x:c r="D8" s="66" t="str"/>
      <x:c r="E8" s="66" t="str"/>
      <x:c r="F8" s="66" t="str"/>
      <x:c r="G8" s="66" t="str"/>
      <x:c r="H8" s="66" t="str"/>
      <x:c r="I8" s="66" t="str"/>
      <x:c r="J8" s="66" t="str"/>
      <x:c r="K8" s="66" t="str"/>
      <x:c r="L8" s="66" t="str"/>
      <x:c r="M8" s="66" t="str"/>
      <x:c r="N8" s="66" t="str"/>
    </x:row>
    <x:row r="9">
      <x:c r="A9" s="20" t="str">
        <x:v>ID</x:v>
      </x:c>
      <x:c r="B9" s="20" t="str">
        <x:v>Necessidade do usuário</x:v>
      </x:c>
      <x:c r="C9" s="20" t="str">
        <x:v>Importância</x:v>
      </x:c>
      <x:c r="D9" s="20" t="str">
        <x:v>REQ/CTQ 1</x:v>
      </x:c>
      <x:c r="E9" s="20" t="str">
        <x:v>REQ/CTQ 2</x:v>
      </x:c>
      <x:c r="F9" s="20" t="str">
        <x:v>REQ/CTQ 3</x:v>
      </x:c>
      <x:c r="G9" s="20" t="str">
        <x:v>REQ/CTQ 4</x:v>
      </x:c>
      <x:c r="H9" s="20" t="str">
        <x:v>REQ/CTQ 5</x:v>
      </x:c>
      <x:c r="I9" s="20" t="str">
        <x:v>REQ/CTQ 6</x:v>
      </x:c>
      <x:c r="J9" s="20" t="str">
        <x:v>REQ/CTQ 7</x:v>
      </x:c>
      <x:c r="K9" s="20" t="str">
        <x:v>REQ/CTQ 8</x:v>
      </x:c>
      <x:c r="L9" s="20" t="str">
        <x:v>Peso necessidade</x:v>
      </x:c>
      <x:c r="M9" s="20" t="str">
        <x:v>Observações</x:v>
      </x:c>
      <x:c r="N9" s="20" t="str">
        <x:v>Prioridade</x:v>
      </x:c>
    </x:row>
    <x:row r="10">
      <x:c r="A10" s="32"/>
      <x:c r="B10" s="32"/>
      <x:c r="C10" s="32"/>
      <x:c r="D10" s="77" t="str"/>
      <x:c r="E10" s="77" t="str"/>
      <x:c r="F10" s="77" t="str"/>
      <x:c r="G10" s="77" t="str"/>
      <x:c r="H10" s="77" t="str"/>
      <x:c r="I10" s="77" t="str"/>
      <x:c r="J10" s="77" t="str"/>
      <x:c r="K10" s="77" t="str"/>
      <x:c r="L10" s="32"/>
      <x:c r="M10" s="32"/>
      <x:c r="N10" s="32"/>
    </x:row>
    <x:row r="11">
      <x:c r="A11" s="32" t="str">
        <x:f>IF('G2_NECESS'!A10="","",'G2_NECESS'!A10)</x:f>
        <x:v>N01</x:v>
      </x:c>
      <x:c r="B11" s="32" t="str">
        <x:f>IF('G2_NECESS'!B10="","",'G2_NECESS'!B10)</x:f>
      </x:c>
      <x:c r="C11" s="32" t="str">
        <x:f>IF('G2_NECESS'!D10="","",'G2_NECESS'!D10)</x:f>
      </x:c>
      <x:c r="D11" s="32" t="str"/>
      <x:c r="E11" s="32" t="str"/>
      <x:c r="F11" s="32" t="str"/>
      <x:c r="G11" s="32" t="str"/>
      <x:c r="H11" s="32" t="str"/>
      <x:c r="I11" s="32" t="str"/>
      <x:c r="J11" s="32" t="str"/>
      <x:c r="K11" s="32" t="str"/>
      <x:c r="L11" s="32" t="str">
        <x:f>IF(B11="","",SUM(D11:K11)*C11)</x:f>
      </x:c>
      <x:c r="M11" s="32" t="str"/>
      <x:c r="N11" s="32" t="str"/>
    </x:row>
    <x:row r="12">
      <x:c r="A12" s="32" t="str">
        <x:f>IF('G2_NECESS'!A11="","",'G2_NECESS'!A11)</x:f>
        <x:v>N02</x:v>
      </x:c>
      <x:c r="B12" s="32" t="str">
        <x:f>IF('G2_NECESS'!B11="","",'G2_NECESS'!B11)</x:f>
      </x:c>
      <x:c r="C12" s="32" t="str">
        <x:f>IF('G2_NECESS'!D11="","",'G2_NECESS'!D11)</x:f>
      </x:c>
      <x:c r="D12" s="32" t="str"/>
      <x:c r="E12" s="32" t="str"/>
      <x:c r="F12" s="32" t="str"/>
      <x:c r="G12" s="32" t="str"/>
      <x:c r="H12" s="32" t="str"/>
      <x:c r="I12" s="32" t="str"/>
      <x:c r="J12" s="32" t="str"/>
      <x:c r="K12" s="32" t="str"/>
      <x:c r="L12" s="32" t="str">
        <x:f>IF(B12="","",SUM(D12:K12)*C12)</x:f>
      </x:c>
      <x:c r="M12" s="32" t="str"/>
      <x:c r="N12" s="32" t="str"/>
    </x:row>
    <x:row r="13">
      <x:c r="A13" s="32" t="str">
        <x:f>IF('G2_NECESS'!A12="","",'G2_NECESS'!A12)</x:f>
        <x:v>N03</x:v>
      </x:c>
      <x:c r="B13" s="32" t="str">
        <x:f>IF('G2_NECESS'!B12="","",'G2_NECESS'!B12)</x:f>
      </x:c>
      <x:c r="C13" s="32" t="str">
        <x:f>IF('G2_NECESS'!D12="","",'G2_NECESS'!D12)</x:f>
      </x:c>
      <x:c r="D13" s="32" t="str"/>
      <x:c r="E13" s="32" t="str"/>
      <x:c r="F13" s="32" t="str"/>
      <x:c r="G13" s="32" t="str"/>
      <x:c r="H13" s="32" t="str"/>
      <x:c r="I13" s="32" t="str"/>
      <x:c r="J13" s="32" t="str"/>
      <x:c r="K13" s="32" t="str"/>
      <x:c r="L13" s="32" t="str">
        <x:f>IF(B13="","",SUM(D13:K13)*C13)</x:f>
      </x:c>
      <x:c r="M13" s="32" t="str"/>
      <x:c r="N13" s="32" t="str"/>
    </x:row>
    <x:row r="14">
      <x:c r="A14" s="32" t="str">
        <x:f>IF('G2_NECESS'!A13="","",'G2_NECESS'!A13)</x:f>
        <x:v>N04</x:v>
      </x:c>
      <x:c r="B14" s="32" t="str">
        <x:f>IF('G2_NECESS'!B13="","",'G2_NECESS'!B13)</x:f>
      </x:c>
      <x:c r="C14" s="32" t="str">
        <x:f>IF('G2_NECESS'!D13="","",'G2_NECESS'!D13)</x:f>
      </x:c>
      <x:c r="D14" s="32" t="str"/>
      <x:c r="E14" s="32" t="str"/>
      <x:c r="F14" s="32" t="str"/>
      <x:c r="G14" s="32" t="str"/>
      <x:c r="H14" s="32" t="str"/>
      <x:c r="I14" s="32" t="str"/>
      <x:c r="J14" s="32" t="str"/>
      <x:c r="K14" s="32" t="str"/>
      <x:c r="L14" s="32" t="str">
        <x:f>IF(B14="","",SUM(D14:K14)*C14)</x:f>
      </x:c>
      <x:c r="M14" s="32" t="str"/>
      <x:c r="N14" s="32" t="str"/>
    </x:row>
    <x:row r="15">
      <x:c r="A15" s="32" t="str">
        <x:f>IF('G2_NECESS'!A14="","",'G2_NECESS'!A14)</x:f>
        <x:v>N05</x:v>
      </x:c>
      <x:c r="B15" s="32" t="str">
        <x:f>IF('G2_NECESS'!B14="","",'G2_NECESS'!B14)</x:f>
      </x:c>
      <x:c r="C15" s="32" t="str">
        <x:f>IF('G2_NECESS'!D14="","",'G2_NECESS'!D14)</x:f>
      </x:c>
      <x:c r="D15" s="32" t="str"/>
      <x:c r="E15" s="32" t="str"/>
      <x:c r="F15" s="32" t="str"/>
      <x:c r="G15" s="32" t="str"/>
      <x:c r="H15" s="32" t="str"/>
      <x:c r="I15" s="32" t="str"/>
      <x:c r="J15" s="32" t="str"/>
      <x:c r="K15" s="32" t="str"/>
      <x:c r="L15" s="32" t="str">
        <x:f>IF(B15="","",SUM(D15:K15)*C15)</x:f>
      </x:c>
      <x:c r="M15" s="32" t="str"/>
      <x:c r="N15" s="32" t="str"/>
    </x:row>
    <x:row r="16">
      <x:c r="A16" s="32" t="str">
        <x:f>IF('G2_NECESS'!A15="","",'G2_NECESS'!A15)</x:f>
        <x:v>N06</x:v>
      </x:c>
      <x:c r="B16" s="32" t="str">
        <x:f>IF('G2_NECESS'!B15="","",'G2_NECESS'!B15)</x:f>
      </x:c>
      <x:c r="C16" s="32" t="str">
        <x:f>IF('G2_NECESS'!D15="","",'G2_NECESS'!D15)</x:f>
      </x:c>
      <x:c r="D16" s="32" t="str"/>
      <x:c r="E16" s="32" t="str"/>
      <x:c r="F16" s="32" t="str"/>
      <x:c r="G16" s="32" t="str"/>
      <x:c r="H16" s="32" t="str"/>
      <x:c r="I16" s="32" t="str"/>
      <x:c r="J16" s="32" t="str"/>
      <x:c r="K16" s="32" t="str"/>
      <x:c r="L16" s="32" t="str">
        <x:f>IF(B16="","",SUM(D16:K16)*C16)</x:f>
      </x:c>
      <x:c r="M16" s="32" t="str"/>
      <x:c r="N16" s="32" t="str"/>
    </x:row>
    <x:row r="17">
      <x:c r="A17" s="32" t="str">
        <x:f>IF('G2_NECESS'!A16="","",'G2_NECESS'!A16)</x:f>
        <x:v>N07</x:v>
      </x:c>
      <x:c r="B17" s="32" t="str">
        <x:f>IF('G2_NECESS'!B16="","",'G2_NECESS'!B16)</x:f>
      </x:c>
      <x:c r="C17" s="32" t="str">
        <x:f>IF('G2_NECESS'!D16="","",'G2_NECESS'!D16)</x:f>
      </x:c>
      <x:c r="D17" s="32" t="str"/>
      <x:c r="E17" s="32" t="str"/>
      <x:c r="F17" s="32" t="str"/>
      <x:c r="G17" s="32" t="str"/>
      <x:c r="H17" s="32" t="str"/>
      <x:c r="I17" s="32" t="str"/>
      <x:c r="J17" s="32" t="str"/>
      <x:c r="K17" s="32" t="str"/>
      <x:c r="L17" s="32" t="str">
        <x:f>IF(B17="","",SUM(D17:K17)*C17)</x:f>
      </x:c>
      <x:c r="M17" s="32" t="str"/>
      <x:c r="N17" s="32" t="str"/>
    </x:row>
    <x:row r="18">
      <x:c r="A18" s="32" t="str">
        <x:f>IF('G2_NECESS'!A17="","",'G2_NECESS'!A17)</x:f>
        <x:v>N08</x:v>
      </x:c>
      <x:c r="B18" s="32" t="str">
        <x:f>IF('G2_NECESS'!B17="","",'G2_NECESS'!B17)</x:f>
      </x:c>
      <x:c r="C18" s="32" t="str">
        <x:f>IF('G2_NECESS'!D17="","",'G2_NECESS'!D17)</x:f>
      </x:c>
      <x:c r="D18" s="32" t="str"/>
      <x:c r="E18" s="32" t="str"/>
      <x:c r="F18" s="32" t="str"/>
      <x:c r="G18" s="32" t="str"/>
      <x:c r="H18" s="32" t="str"/>
      <x:c r="I18" s="32" t="str"/>
      <x:c r="J18" s="32" t="str"/>
      <x:c r="K18" s="32" t="str"/>
      <x:c r="L18" s="32" t="str">
        <x:f>IF(B18="","",SUM(D18:K18)*C18)</x:f>
      </x:c>
      <x:c r="M18" s="32" t="str"/>
      <x:c r="N18" s="32" t="str"/>
    </x:row>
    <x:row r="19">
      <x:c r="A19" s="32" t="str">
        <x:f>IF('G2_NECESS'!A18="","",'G2_NECESS'!A18)</x:f>
        <x:v>N09</x:v>
      </x:c>
      <x:c r="B19" s="32" t="str">
        <x:f>IF('G2_NECESS'!B18="","",'G2_NECESS'!B18)</x:f>
      </x:c>
      <x:c r="C19" s="32" t="str">
        <x:f>IF('G2_NECESS'!D18="","",'G2_NECESS'!D18)</x:f>
      </x:c>
      <x:c r="D19" s="32" t="str"/>
      <x:c r="E19" s="32" t="str"/>
      <x:c r="F19" s="32" t="str"/>
      <x:c r="G19" s="32" t="str"/>
      <x:c r="H19" s="32" t="str"/>
      <x:c r="I19" s="32" t="str"/>
      <x:c r="J19" s="32" t="str"/>
      <x:c r="K19" s="32" t="str"/>
      <x:c r="L19" s="32" t="str">
        <x:f>IF(B19="","",SUM(D19:K19)*C19)</x:f>
      </x:c>
      <x:c r="M19" s="32" t="str"/>
      <x:c r="N19" s="32" t="str"/>
    </x:row>
    <x:row r="20">
      <x:c r="A20" s="32" t="str">
        <x:f>IF('G2_NECESS'!A19="","",'G2_NECESS'!A19)</x:f>
        <x:v>N10</x:v>
      </x:c>
      <x:c r="B20" s="32" t="str">
        <x:f>IF('G2_NECESS'!B19="","",'G2_NECESS'!B19)</x:f>
      </x:c>
      <x:c r="C20" s="32" t="str">
        <x:f>IF('G2_NECESS'!D19="","",'G2_NECESS'!D19)</x:f>
      </x:c>
      <x:c r="D20" s="32" t="str"/>
      <x:c r="E20" s="32" t="str"/>
      <x:c r="F20" s="32" t="str"/>
      <x:c r="G20" s="32" t="str"/>
      <x:c r="H20" s="32" t="str"/>
      <x:c r="I20" s="32" t="str"/>
      <x:c r="J20" s="32" t="str"/>
      <x:c r="K20" s="32" t="str"/>
      <x:c r="L20" s="32" t="str">
        <x:f>IF(B20="","",SUM(D20:K20)*C20)</x:f>
      </x:c>
      <x:c r="M20" s="32" t="str"/>
      <x:c r="N20" s="32" t="str"/>
    </x:row>
    <x:row r="21">
      <x:c r="A21" s="32" t="str">
        <x:f>IF('G2_NECESS'!A20="","",'G2_NECESS'!A20)</x:f>
        <x:v>N11</x:v>
      </x:c>
      <x:c r="B21" s="32" t="str">
        <x:f>IF('G2_NECESS'!B20="","",'G2_NECESS'!B20)</x:f>
      </x:c>
      <x:c r="C21" s="32" t="str">
        <x:f>IF('G2_NECESS'!D20="","",'G2_NECESS'!D20)</x:f>
      </x:c>
      <x:c r="D21" s="32" t="str"/>
      <x:c r="E21" s="32" t="str"/>
      <x:c r="F21" s="32" t="str"/>
      <x:c r="G21" s="32" t="str"/>
      <x:c r="H21" s="32" t="str"/>
      <x:c r="I21" s="32" t="str"/>
      <x:c r="J21" s="32" t="str"/>
      <x:c r="K21" s="32" t="str"/>
      <x:c r="L21" s="32" t="str">
        <x:f>IF(B21="","",SUM(D21:K21)*C21)</x:f>
      </x:c>
      <x:c r="M21" s="32" t="str"/>
      <x:c r="N21" s="32" t="str"/>
    </x:row>
    <x:row r="22">
      <x:c r="A22" s="32" t="str">
        <x:f>IF('G2_NECESS'!A21="","",'G2_NECESS'!A21)</x:f>
        <x:v>N12</x:v>
      </x:c>
      <x:c r="B22" s="32" t="str">
        <x:f>IF('G2_NECESS'!B21="","",'G2_NECESS'!B21)</x:f>
      </x:c>
      <x:c r="C22" s="32" t="str">
        <x:f>IF('G2_NECESS'!D21="","",'G2_NECESS'!D21)</x:f>
      </x:c>
      <x:c r="D22" s="32" t="str"/>
      <x:c r="E22" s="32" t="str"/>
      <x:c r="F22" s="32" t="str"/>
      <x:c r="G22" s="32" t="str"/>
      <x:c r="H22" s="32" t="str"/>
      <x:c r="I22" s="32" t="str"/>
      <x:c r="J22" s="32" t="str"/>
      <x:c r="K22" s="32" t="str"/>
      <x:c r="L22" s="32" t="str">
        <x:f>IF(B22="","",SUM(D22:K22)*C22)</x:f>
      </x:c>
      <x:c r="M22" s="32" t="str"/>
      <x:c r="N22" s="32" t="str"/>
    </x:row>
    <x:row r="23">
      <x:c r="A23" s="32" t="str">
        <x:f>IF('G2_NECESS'!A22="","",'G2_NECESS'!A22)</x:f>
        <x:v>N13</x:v>
      </x:c>
      <x:c r="B23" s="32" t="str">
        <x:f>IF('G2_NECESS'!B22="","",'G2_NECESS'!B22)</x:f>
      </x:c>
      <x:c r="C23" s="32" t="str">
        <x:f>IF('G2_NECESS'!D22="","",'G2_NECESS'!D22)</x:f>
      </x:c>
      <x:c r="D23" s="32" t="str"/>
      <x:c r="E23" s="32" t="str"/>
      <x:c r="F23" s="32" t="str"/>
      <x:c r="G23" s="32" t="str"/>
      <x:c r="H23" s="32" t="str"/>
      <x:c r="I23" s="32" t="str"/>
      <x:c r="J23" s="32" t="str"/>
      <x:c r="K23" s="32" t="str"/>
      <x:c r="L23" s="32" t="str">
        <x:f>IF(B23="","",SUM(D23:K23)*C23)</x:f>
      </x:c>
      <x:c r="M23" s="32" t="str"/>
      <x:c r="N23" s="32" t="str"/>
    </x:row>
    <x:row r="24">
      <x:c r="A24" s="32" t="str">
        <x:f>IF('G2_NECESS'!A23="","",'G2_NECESS'!A23)</x:f>
        <x:v>N14</x:v>
      </x:c>
      <x:c r="B24" s="32" t="str">
        <x:f>IF('G2_NECESS'!B23="","",'G2_NECESS'!B23)</x:f>
      </x:c>
      <x:c r="C24" s="32" t="str">
        <x:f>IF('G2_NECESS'!D23="","",'G2_NECESS'!D23)</x:f>
      </x:c>
      <x:c r="D24" s="32" t="str"/>
      <x:c r="E24" s="32" t="str"/>
      <x:c r="F24" s="32" t="str"/>
      <x:c r="G24" s="32" t="str"/>
      <x:c r="H24" s="32" t="str"/>
      <x:c r="I24" s="32" t="str"/>
      <x:c r="J24" s="32" t="str"/>
      <x:c r="K24" s="32" t="str"/>
      <x:c r="L24" s="32" t="str">
        <x:f>IF(B24="","",SUM(D24:K24)*C24)</x:f>
      </x:c>
      <x:c r="M24" s="32" t="str"/>
      <x:c r="N24" s="32" t="str"/>
    </x:row>
    <x:row r="25">
      <x:c r="A25" s="32" t="str">
        <x:f>IF('G2_NECESS'!A24="","",'G2_NECESS'!A24)</x:f>
        <x:v>N15</x:v>
      </x:c>
      <x:c r="B25" s="32" t="str">
        <x:f>IF('G2_NECESS'!B24="","",'G2_NECESS'!B24)</x:f>
      </x:c>
      <x:c r="C25" s="32" t="str">
        <x:f>IF('G2_NECESS'!D24="","",'G2_NECESS'!D24)</x:f>
      </x:c>
      <x:c r="D25" s="32" t="str"/>
      <x:c r="E25" s="32" t="str"/>
      <x:c r="F25" s="32" t="str"/>
      <x:c r="G25" s="32" t="str"/>
      <x:c r="H25" s="32" t="str"/>
      <x:c r="I25" s="32" t="str"/>
      <x:c r="J25" s="32" t="str"/>
      <x:c r="K25" s="32" t="str"/>
      <x:c r="L25" s="32" t="str">
        <x:f>IF(B25="","",SUM(D25:K25)*C25)</x:f>
      </x:c>
      <x:c r="M25" s="32" t="str"/>
      <x:c r="N25" s="32" t="str"/>
    </x:row>
    <x:row r="26">
      <x:c r="A26" s="32"/>
      <x:c r="B26" s="32"/>
      <x:c r="C26" s="32"/>
      <x:c r="D26" s="32"/>
      <x:c r="E26" s="32"/>
      <x:c r="F26" s="32"/>
      <x:c r="G26" s="32"/>
      <x:c r="H26" s="32"/>
      <x:c r="I26" s="32"/>
      <x:c r="J26" s="32"/>
      <x:c r="K26" s="32"/>
      <x:c r="L26" s="32"/>
      <x:c r="M26" s="32"/>
      <x:c r="N26" s="32"/>
    </x:row>
    <x:row r="27">
      <x:c r="A27" s="66" t="str">
        <x:v>Importância técnica</x:v>
      </x:c>
      <x:c r="B27" s="66" t="str"/>
      <x:c r="C27" s="66" t="str"/>
      <x:c r="D27" s="66" t="n">
        <x:f>SUMPRODUCT($C$11:$C$25,D$11:D$25)</x:f>
        <x:v>0</x:v>
      </x:c>
      <x:c r="E27" s="66" t="n">
        <x:f>SUMPRODUCT($C$11:$C$25,E$11:E$25)</x:f>
        <x:v>0</x:v>
      </x:c>
      <x:c r="F27" s="66" t="n">
        <x:f>SUMPRODUCT($C$11:$C$25,F$11:F$25)</x:f>
        <x:v>0</x:v>
      </x:c>
      <x:c r="G27" s="66" t="n">
        <x:f>SUMPRODUCT($C$11:$C$25,G$11:G$25)</x:f>
        <x:v>0</x:v>
      </x:c>
      <x:c r="H27" s="66" t="n">
        <x:f>SUMPRODUCT($C$11:$C$25,H$11:H$25)</x:f>
        <x:v>0</x:v>
      </x:c>
      <x:c r="I27" s="66" t="n">
        <x:f>SUMPRODUCT($C$11:$C$25,I$11:I$25)</x:f>
        <x:v>0</x:v>
      </x:c>
      <x:c r="J27" s="66" t="n">
        <x:f>SUMPRODUCT($C$11:$C$25,J$11:J$25)</x:f>
        <x:v>0</x:v>
      </x:c>
      <x:c r="K27" s="66" t="n">
        <x:f>SUMPRODUCT($C$11:$C$25,K$11:K$25)</x:f>
        <x:v>0</x:v>
      </x:c>
      <x:c r="L27" s="66"/>
      <x:c r="M27" s="66"/>
      <x:c r="N27" s="66"/>
    </x:row>
  </x:sheetData>
  <x:mergeCells>
    <x:mergeCell ref="A1:N1"/>
    <x:mergeCell ref="A2:N2"/>
    <x:mergeCell ref="A8:N8"/>
    <x:mergeCell ref="A27:C27"/>
  </x:mergeCells>
  <x:dataValidations count="2">
    <x:dataValidation type="list" sqref="H5">
      <x:formula1>"Não iniciado,Em preenchimento,Em revisão,Concluído"</x:formula1>
    </x:dataValidation>
    <x:dataValidation type="list" sqref="D11:K25">
      <x:formula1>",0,1,3,9"</x:formula1>
    </x:dataValidation>
  </x:dataValidations>
  <x:pageMargins left="0.7" right="0.7" top="0.75" bottom="0.75" header="0.3" footer="0.3"/>
</x:worksheet>
</file>

<file path=xl/worksheets/sheet80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38" hidden="0" customWidth="1"/>
    <x:col min="3" max="3" width="28" hidden="0" customWidth="1"/>
    <x:col min="4" max="4" width="42" hidden="0" customWidth="1"/>
    <x:col min="5" max="5" width="18" hidden="0" customWidth="1"/>
    <x:col min="6" max="6" width="16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</x:cols>
  <x:sheetData>
    <x:row r="1">
      <x:c r="A1" s="4" t="str">
        <x:v>Claims pretendidos</x:v>
      </x:c>
      <x:c r="B1" s="4"/>
      <x:c r="C1" s="4"/>
      <x:c r="D1" s="4"/>
      <x:c r="E1" s="4"/>
      <x:c r="F1" s="4"/>
      <x:c r="G1" s="4"/>
      <x:c r="H1" s="4"/>
    </x:row>
    <x:row r="2">
      <x:c r="A2" s="11" t="str">
        <x:v>Ferramenta do ciclo de idealização até conceito aprovado. Preencha somente quando aplicável ao produto.</x:v>
      </x:c>
      <x:c r="B2" s="11"/>
      <x:c r="C2" s="11"/>
      <x:c r="D2" s="11"/>
      <x:c r="E2" s="11"/>
      <x:c r="F2" s="11"/>
      <x:c r="G2" s="11"/>
      <x:c r="H2" s="11"/>
    </x:row>
    <x:row r="3">
      <x:c r="A3" s="58" t="str">
        <x:v>Código</x:v>
      </x:c>
      <x:c r="B3" s="32" t="str">
        <x:v>G5_CLAIMS</x:v>
      </x:c>
      <x:c r="C3" s="32" t="str"/>
      <x:c r="D3" s="58" t="str">
        <x:v>Gate</x:v>
      </x:c>
      <x:c r="E3" s="32" t="str">
        <x:v>Gate 5 — Conceito Final Aprovado</x:v>
      </x:c>
      <x:c r="F3" s="32" t="str"/>
      <x:c r="G3" s="58" t="str">
        <x:v>Tipo</x:v>
      </x:c>
      <x:c r="H3" s="32" t="str">
        <x:v>Entregável</x:v>
      </x:c>
    </x:row>
    <x:row r="4">
      <x:c r="A4" s="58" t="str">
        <x:v>Propósito</x:v>
      </x:c>
      <x:c r="B4" s="32" t="str">
        <x:v>Registrar alegações desejadas</x:v>
      </x:c>
      <x:c r="C4" s="32" t="str"/>
      <x:c r="D4" s="58" t="str">
        <x:v>Quando usar</x:v>
      </x:c>
      <x:c r="E4" s="32" t="str">
        <x:v>Conforme pacote inteligente / Mapa_Selecao</x:v>
      </x:c>
      <x:c r="F4" s="32" t="str"/>
      <x:c r="G4" s="58" t="str">
        <x:v>Observações</x:v>
      </x:c>
      <x:c r="H4" s="32" t="str">
        <x:v>Não substitui projeto detalhado; registra hipóteses, alertas e incertezas.</x:v>
      </x:c>
    </x:row>
    <x:row r="5">
      <x:c r="A5" s="58" t="str">
        <x:v>Produto</x:v>
      </x:c>
      <x:c r="B5" s="32" t="str">
        <x:f>IF(Dashboard!B4="","",Dashboard!B4)</x:f>
      </x:c>
      <x:c r="C5" s="32" t="str"/>
      <x:c r="D5" s="58" t="str">
        <x:v>Responsável</x:v>
      </x:c>
      <x:c r="E5" s="32" t="str">
        <x:f>IF(Dashboard!B6="","",Dashboard!B6)</x:f>
      </x:c>
      <x:c r="F5" s="32" t="str"/>
      <x:c r="G5" s="58" t="str">
        <x:v>Status</x:v>
      </x:c>
      <x:c r="H5" s="32" t="str"/>
    </x:row>
    <x:row r="6">
      <x:c r="A6" s="61" t="e">
        <x:f>HYPERLINK("#'Dashboard'!A1","← Dashboard")</x:f>
      </x:c>
      <x:c r="B6" s="61" t="e">
        <x:f>HYPERLINK("#'Indice'!A1","Índice")</x:f>
      </x:c>
      <x:c r="C6" s="61" t="e">
        <x:f>HYPERLINK("#'Mapa_Selecao'!A1","Mapa de seleção")</x:f>
      </x:c>
    </x:row>
    <x:row r="8">
      <x:c r="A8" s="66" t="str">
        <x:v>Formulário de aplicação da ferramenta</x:v>
      </x:c>
      <x:c r="B8" s="66"/>
      <x:c r="C8" s="66"/>
      <x:c r="D8" s="66"/>
      <x:c r="E8" s="66"/>
      <x:c r="F8" s="66"/>
    </x:row>
    <x:row r="9">
      <x:c r="A9" s="20" t="str">
        <x:v>Item</x:v>
      </x:c>
      <x:c r="B9" s="20" t="str">
        <x:v>Pergunta / campo</x:v>
      </x:c>
      <x:c r="C9" s="20" t="str">
        <x:v>Resposta</x:v>
      </x:c>
      <x:c r="D9" s="20" t="str">
        <x:v>Evidência / observação</x:v>
      </x:c>
      <x:c r="E9" s="20" t="str">
        <x:v>Responsável</x:v>
      </x:c>
      <x:c r="F9" s="20" t="str">
        <x:v>Status</x:v>
      </x:c>
    </x:row>
    <x:row r="10">
      <x:c r="A10" s="32" t="str">
        <x:v>1</x:v>
      </x:c>
      <x:c r="B10" s="32" t="str">
        <x:v>Qual é o objetivo desta ferramenta para este produto?</x:v>
      </x:c>
      <x:c r="C10" s="32" t="str"/>
      <x:c r="D10" s="32" t="str"/>
      <x:c r="E10" s="32" t="str"/>
      <x:c r="F10" s="32" t="str"/>
    </x:row>
    <x:row r="11">
      <x:c r="A11" s="32" t="str">
        <x:v>2</x:v>
      </x:c>
      <x:c r="B11" s="32" t="str">
        <x:v>Quais informações já estão disponíveis?</x:v>
      </x:c>
      <x:c r="C11" s="32" t="str"/>
      <x:c r="D11" s="32" t="str"/>
      <x:c r="E11" s="32" t="str"/>
      <x:c r="F11" s="32" t="str"/>
    </x:row>
    <x:row r="12">
      <x:c r="A12" s="32" t="str">
        <x:v>3</x:v>
      </x:c>
      <x:c r="B12" s="32" t="str">
        <x:v>Quais informações ainda estão pendentes?</x:v>
      </x:c>
      <x:c r="C12" s="32" t="str"/>
      <x:c r="D12" s="32" t="str"/>
      <x:c r="E12" s="32" t="str"/>
      <x:c r="F12" s="32" t="str"/>
    </x:row>
    <x:row r="13">
      <x:c r="A13" s="32" t="str">
        <x:v>4</x:v>
      </x:c>
      <x:c r="B13" s="32" t="str">
        <x:v>Quais achados impactam o conceito?</x:v>
      </x:c>
      <x:c r="C13" s="32" t="str"/>
      <x:c r="D13" s="32" t="str"/>
      <x:c r="E13" s="32" t="str"/>
      <x:c r="F13" s="32" t="str"/>
    </x:row>
    <x:row r="14">
      <x:c r="A14" s="32" t="str">
        <x:v>5</x:v>
      </x:c>
      <x:c r="B14" s="32" t="str">
        <x:v>Quais incertezas devem seguir para o próximo Gate?</x:v>
      </x:c>
      <x:c r="C14" s="32" t="str"/>
      <x:c r="D14" s="32" t="str"/>
      <x:c r="E14" s="32" t="str"/>
      <x:c r="F14" s="32" t="str"/>
    </x:row>
    <x:row r="15">
      <x:c r="A15" s="32"/>
      <x:c r="B15" s="32"/>
      <x:c r="C15" s="32"/>
      <x:c r="D15" s="32"/>
      <x:c r="E15" s="32"/>
      <x:c r="F15" s="32"/>
    </x:row>
    <x:row r="16">
      <x:c r="A16" s="32"/>
      <x:c r="B16" s="32"/>
      <x:c r="C16" s="32"/>
      <x:c r="D16" s="32"/>
      <x:c r="E16" s="32"/>
      <x:c r="F16" s="32"/>
    </x:row>
    <x:row r="17">
      <x:c r="A17" s="32"/>
      <x:c r="B17" s="32"/>
      <x:c r="C17" s="32"/>
      <x:c r="D17" s="32"/>
      <x:c r="E17" s="32"/>
      <x:c r="F17" s="32"/>
    </x:row>
    <x:row r="18">
      <x:c r="A18" s="32"/>
      <x:c r="B18" s="32"/>
      <x:c r="C18" s="32"/>
      <x:c r="D18" s="32"/>
      <x:c r="E18" s="32"/>
      <x:c r="F18" s="32"/>
    </x:row>
    <x:row r="19">
      <x:c r="A19" s="32"/>
      <x:c r="B19" s="32"/>
      <x:c r="C19" s="32"/>
      <x:c r="D19" s="32"/>
      <x:c r="E19" s="32"/>
      <x:c r="F19" s="32"/>
    </x:row>
    <x:row r="20">
      <x:c r="A20" s="32"/>
      <x:c r="B20" s="32"/>
      <x:c r="C20" s="32"/>
      <x:c r="D20" s="32"/>
      <x:c r="E20" s="32"/>
      <x:c r="F20" s="32"/>
    </x:row>
  </x:sheetData>
  <x:mergeCells>
    <x:mergeCell ref="A1:H1"/>
    <x:mergeCell ref="A2:H2"/>
    <x:mergeCell ref="A8:F8"/>
  </x:mergeCells>
  <x:dataValidations count="2">
    <x:dataValidation type="list" sqref="H5">
      <x:formula1>"Não iniciado,Em preenchimento,Em revisão,Concluído"</x:formula1>
    </x:dataValidation>
    <x:dataValidation type="list" sqref="F10:F20">
      <x:formula1>"Não iniciado,Em preenchimento,Concluído,N/A"</x:formula1>
    </x:dataValidation>
  </x:dataValidations>
  <x:pageMargins left="0.7" right="0.7" top="0.75" bottom="0.75" header="0.3" footer="0.3"/>
</x:worksheet>
</file>

<file path=xl/worksheets/sheet81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18" hidden="0" customWidth="1"/>
    <x:col min="3" max="3" width="14" hidden="0" customWidth="1"/>
    <x:col min="4" max="4" width="42" hidden="0" customWidth="1"/>
    <x:col min="5" max="5" width="18" hidden="0" customWidth="1"/>
    <x:col min="6" max="6" width="16" hidden="0" customWidth="1"/>
    <x:col min="7" max="7" width="18" hidden="0" customWidth="1"/>
    <x:col min="8" max="8" width="40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</x:cols>
  <x:sheetData>
    <x:row r="1">
      <x:c r="A1" s="4" t="str">
        <x:v>Mapa final de incertezas</x:v>
      </x:c>
      <x:c r="B1" s="4"/>
      <x:c r="C1" s="4"/>
      <x:c r="D1" s="4"/>
      <x:c r="E1" s="4"/>
      <x:c r="F1" s="4"/>
      <x:c r="G1" s="4"/>
      <x:c r="H1" s="4"/>
    </x:row>
    <x:row r="2">
      <x:c r="A2" s="11" t="str">
        <x:v>Ferramenta do ciclo de idealização até conceito aprovado. Preencha somente quando aplicável ao produto.</x:v>
      </x:c>
      <x:c r="B2" s="11"/>
      <x:c r="C2" s="11"/>
      <x:c r="D2" s="11"/>
      <x:c r="E2" s="11"/>
      <x:c r="F2" s="11"/>
      <x:c r="G2" s="11"/>
      <x:c r="H2" s="11"/>
    </x:row>
    <x:row r="3">
      <x:c r="A3" s="58" t="str">
        <x:v>Código</x:v>
      </x:c>
      <x:c r="B3" s="32" t="str">
        <x:v>G5_INCERT</x:v>
      </x:c>
      <x:c r="C3" s="32" t="str"/>
      <x:c r="D3" s="58" t="str">
        <x:v>Gate</x:v>
      </x:c>
      <x:c r="E3" s="32" t="str">
        <x:v>Gate 5 — Conceito Final Aprovado</x:v>
      </x:c>
      <x:c r="F3" s="32" t="str"/>
      <x:c r="G3" s="58" t="str">
        <x:v>Tipo</x:v>
      </x:c>
      <x:c r="H3" s="32" t="str">
        <x:v>Entregável</x:v>
      </x:c>
    </x:row>
    <x:row r="4">
      <x:c r="A4" s="58" t="str">
        <x:v>Propósito</x:v>
      </x:c>
      <x:c r="B4" s="32" t="str">
        <x:v>Consolidar dúvidas para o projeto</x:v>
      </x:c>
      <x:c r="C4" s="32" t="str"/>
      <x:c r="D4" s="58" t="str">
        <x:v>Quando usar</x:v>
      </x:c>
      <x:c r="E4" s="32" t="str">
        <x:v>Conforme pacote inteligente / Mapa_Selecao</x:v>
      </x:c>
      <x:c r="F4" s="32" t="str"/>
      <x:c r="G4" s="58" t="str">
        <x:v>Observações</x:v>
      </x:c>
      <x:c r="H4" s="32" t="str">
        <x:v>Não substitui projeto detalhado; registra hipóteses, alertas e incertezas.</x:v>
      </x:c>
    </x:row>
    <x:row r="5">
      <x:c r="A5" s="58" t="str">
        <x:v>Produto</x:v>
      </x:c>
      <x:c r="B5" s="32" t="str">
        <x:f>IF(Dashboard!B4="","",Dashboard!B4)</x:f>
      </x:c>
      <x:c r="C5" s="32" t="str"/>
      <x:c r="D5" s="58" t="str">
        <x:v>Responsável</x:v>
      </x:c>
      <x:c r="E5" s="32" t="str">
        <x:f>IF(Dashboard!B6="","",Dashboard!B6)</x:f>
      </x:c>
      <x:c r="F5" s="32" t="str"/>
      <x:c r="G5" s="58" t="str">
        <x:v>Status</x:v>
      </x:c>
      <x:c r="H5" s="32" t="str"/>
    </x:row>
    <x:row r="6">
      <x:c r="A6" s="61" t="e">
        <x:f>HYPERLINK("#'Dashboard'!A1","← Dashboard")</x:f>
      </x:c>
      <x:c r="B6" s="61" t="e">
        <x:f>HYPERLINK("#'Indice'!A1","Índice")</x:f>
      </x:c>
      <x:c r="C6" s="61" t="e">
        <x:f>HYPERLINK("#'Mapa_Selecao'!A1","Mapa de seleção")</x:f>
      </x:c>
    </x:row>
    <x:row r="8">
      <x:c r="A8" s="66" t="str">
        <x:v>Mapa de incertezas</x:v>
      </x:c>
      <x:c r="B8" s="66"/>
      <x:c r="C8" s="66"/>
      <x:c r="D8" s="66"/>
      <x:c r="E8" s="66"/>
      <x:c r="F8" s="66"/>
      <x:c r="G8" s="66"/>
      <x:c r="H8" s="66"/>
    </x:row>
    <x:row r="9">
      <x:c r="A9" s="20" t="str">
        <x:v>Incerteza</x:v>
      </x:c>
      <x:c r="B9" s="20" t="str">
        <x:v>Tipo</x:v>
      </x:c>
      <x:c r="C9" s="20" t="str">
        <x:v>Impacto</x:v>
      </x:c>
      <x:c r="D9" s="20" t="str">
        <x:v>Como investigar</x:v>
      </x:c>
      <x:c r="E9" s="20" t="str">
        <x:v>Responsável</x:v>
      </x:c>
      <x:c r="F9" s="20" t="str">
        <x:v>Prazo</x:v>
      </x:c>
      <x:c r="G9" s="20" t="str">
        <x:v>Status</x:v>
      </x:c>
      <x:c r="H9" s="20" t="str">
        <x:v>Encaminhamento</x:v>
      </x:c>
    </x:row>
    <x:row r="10">
      <x:c r="A10" s="37" t="str"/>
      <x:c r="B10" s="37" t="str"/>
      <x:c r="C10" s="37" t="str"/>
      <x:c r="D10" s="37" t="str"/>
      <x:c r="E10" s="37" t="str"/>
      <x:c r="F10" s="37" t="str"/>
      <x:c r="G10" s="37" t="str"/>
      <x:c r="H10" s="37" t="str"/>
    </x:row>
    <x:row r="11">
      <x:c r="A11" s="37" t="str"/>
      <x:c r="B11" s="37" t="str"/>
      <x:c r="C11" s="37" t="str"/>
      <x:c r="D11" s="37" t="str"/>
      <x:c r="E11" s="37" t="str"/>
      <x:c r="F11" s="37" t="str"/>
      <x:c r="G11" s="37" t="str"/>
      <x:c r="H11" s="37" t="str"/>
    </x:row>
    <x:row r="12">
      <x:c r="A12" s="37" t="str"/>
      <x:c r="B12" s="37" t="str"/>
      <x:c r="C12" s="37" t="str"/>
      <x:c r="D12" s="37" t="str"/>
      <x:c r="E12" s="37" t="str"/>
      <x:c r="F12" s="37" t="str"/>
      <x:c r="G12" s="37" t="str"/>
      <x:c r="H12" s="37" t="str"/>
    </x:row>
    <x:row r="13">
      <x:c r="A13" s="37" t="str"/>
      <x:c r="B13" s="37" t="str"/>
      <x:c r="C13" s="37" t="str"/>
      <x:c r="D13" s="37" t="str"/>
      <x:c r="E13" s="37" t="str"/>
      <x:c r="F13" s="37" t="str"/>
      <x:c r="G13" s="37" t="str"/>
      <x:c r="H13" s="37" t="str"/>
    </x:row>
    <x:row r="14">
      <x:c r="A14" s="37" t="str"/>
      <x:c r="B14" s="37" t="str"/>
      <x:c r="C14" s="37" t="str"/>
      <x:c r="D14" s="37" t="str"/>
      <x:c r="E14" s="37" t="str"/>
      <x:c r="F14" s="37" t="str"/>
      <x:c r="G14" s="37" t="str"/>
      <x:c r="H14" s="37" t="str"/>
    </x:row>
    <x:row r="15">
      <x:c r="A15" s="37" t="str"/>
      <x:c r="B15" s="37" t="str"/>
      <x:c r="C15" s="37" t="str"/>
      <x:c r="D15" s="37" t="str"/>
      <x:c r="E15" s="37" t="str"/>
      <x:c r="F15" s="37" t="str"/>
      <x:c r="G15" s="37" t="str"/>
      <x:c r="H15" s="37" t="str"/>
    </x:row>
    <x:row r="16">
      <x:c r="A16" s="37" t="str"/>
      <x:c r="B16" s="37" t="str"/>
      <x:c r="C16" s="37" t="str"/>
      <x:c r="D16" s="37" t="str"/>
      <x:c r="E16" s="37" t="str"/>
      <x:c r="F16" s="37" t="str"/>
      <x:c r="G16" s="37" t="str"/>
      <x:c r="H16" s="37" t="str"/>
    </x:row>
    <x:row r="17">
      <x:c r="A17" s="37" t="str"/>
      <x:c r="B17" s="37" t="str"/>
      <x:c r="C17" s="37" t="str"/>
      <x:c r="D17" s="37" t="str"/>
      <x:c r="E17" s="37" t="str"/>
      <x:c r="F17" s="37" t="str"/>
      <x:c r="G17" s="37" t="str"/>
      <x:c r="H17" s="37" t="str"/>
    </x:row>
    <x:row r="18">
      <x:c r="A18" s="37" t="str"/>
      <x:c r="B18" s="37" t="str"/>
      <x:c r="C18" s="37" t="str"/>
      <x:c r="D18" s="37" t="str"/>
      <x:c r="E18" s="37" t="str"/>
      <x:c r="F18" s="37" t="str"/>
      <x:c r="G18" s="37" t="str"/>
      <x:c r="H18" s="37" t="str"/>
    </x:row>
    <x:row r="19">
      <x:c r="A19" s="37" t="str"/>
      <x:c r="B19" s="37" t="str"/>
      <x:c r="C19" s="37" t="str"/>
      <x:c r="D19" s="37" t="str"/>
      <x:c r="E19" s="37" t="str"/>
      <x:c r="F19" s="37" t="str"/>
      <x:c r="G19" s="37" t="str"/>
      <x:c r="H19" s="37" t="str"/>
    </x:row>
    <x:row r="20">
      <x:c r="A20" s="37" t="str"/>
      <x:c r="B20" s="37" t="str"/>
      <x:c r="C20" s="37" t="str"/>
      <x:c r="D20" s="37" t="str"/>
      <x:c r="E20" s="37" t="str"/>
      <x:c r="F20" s="37" t="str"/>
      <x:c r="G20" s="37" t="str"/>
      <x:c r="H20" s="37" t="str"/>
    </x:row>
    <x:row r="21">
      <x:c r="A21" s="37" t="str"/>
      <x:c r="B21" s="37" t="str"/>
      <x:c r="C21" s="37" t="str"/>
      <x:c r="D21" s="37" t="str"/>
      <x:c r="E21" s="37" t="str"/>
      <x:c r="F21" s="37" t="str"/>
      <x:c r="G21" s="37" t="str"/>
      <x:c r="H21" s="37" t="str"/>
    </x:row>
    <x:row r="22">
      <x:c r="A22" s="37" t="str"/>
      <x:c r="B22" s="37" t="str"/>
      <x:c r="C22" s="37" t="str"/>
      <x:c r="D22" s="37" t="str"/>
      <x:c r="E22" s="37" t="str"/>
      <x:c r="F22" s="37" t="str"/>
      <x:c r="G22" s="37" t="str"/>
      <x:c r="H22" s="37" t="str"/>
    </x:row>
    <x:row r="23">
      <x:c r="A23" s="37" t="str"/>
      <x:c r="B23" s="37" t="str"/>
      <x:c r="C23" s="37" t="str"/>
      <x:c r="D23" s="37" t="str"/>
      <x:c r="E23" s="37" t="str"/>
      <x:c r="F23" s="37" t="str"/>
      <x:c r="G23" s="37" t="str"/>
      <x:c r="H23" s="37" t="str"/>
    </x:row>
    <x:row r="24">
      <x:c r="A24" s="37" t="str"/>
      <x:c r="B24" s="37" t="str"/>
      <x:c r="C24" s="37" t="str"/>
      <x:c r="D24" s="37" t="str"/>
      <x:c r="E24" s="37" t="str"/>
      <x:c r="F24" s="37" t="str"/>
      <x:c r="G24" s="37" t="str"/>
      <x:c r="H24" s="37" t="str"/>
    </x:row>
    <x:row r="25">
      <x:c r="A25" s="37" t="str"/>
      <x:c r="B25" s="37" t="str"/>
      <x:c r="C25" s="37" t="str"/>
      <x:c r="D25" s="37" t="str"/>
      <x:c r="E25" s="37" t="str"/>
      <x:c r="F25" s="37" t="str"/>
      <x:c r="G25" s="37" t="str"/>
      <x:c r="H25" s="37" t="str"/>
    </x:row>
  </x:sheetData>
  <x:mergeCells>
    <x:mergeCell ref="A1:H1"/>
    <x:mergeCell ref="A2:H2"/>
    <x:mergeCell ref="A8:H8"/>
  </x:mergeCells>
  <x:dataValidations count="4">
    <x:dataValidation type="list" sqref="H5">
      <x:formula1>"Não iniciado,Em preenchimento,Em revisão,Concluído"</x:formula1>
    </x:dataValidation>
    <x:dataValidation type="list" sqref="B10:B25">
      <x:formula1>"Técnica,Clínica,Regulatória,Mercado,Custo,Fornecedor,Uso"</x:formula1>
    </x:dataValidation>
    <x:dataValidation type="list" sqref="C10:C25">
      <x:formula1>"Baixo,Médio,Alto"</x:formula1>
    </x:dataValidation>
    <x:dataValidation type="list" sqref="G10:G25">
      <x:formula1>"Aberta,Em investigação,Reduzida,Fechada"</x:formula1>
    </x:dataValidation>
  </x:dataValidations>
  <x:pageMargins left="0.7" right="0.7" top="0.75" bottom="0.75" header="0.3" footer="0.3"/>
</x:worksheet>
</file>

<file path=xl/worksheets/sheet82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38" hidden="0" customWidth="1"/>
    <x:col min="3" max="3" width="28" hidden="0" customWidth="1"/>
    <x:col min="4" max="4" width="42" hidden="0" customWidth="1"/>
    <x:col min="5" max="5" width="18" hidden="0" customWidth="1"/>
    <x:col min="6" max="6" width="16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</x:cols>
  <x:sheetData>
    <x:row r="1">
      <x:c r="A1" s="4" t="str">
        <x:v>Plano de aprendizagem para projeto</x:v>
      </x:c>
      <x:c r="B1" s="4"/>
      <x:c r="C1" s="4"/>
      <x:c r="D1" s="4"/>
      <x:c r="E1" s="4"/>
      <x:c r="F1" s="4"/>
      <x:c r="G1" s="4"/>
      <x:c r="H1" s="4"/>
    </x:row>
    <x:row r="2">
      <x:c r="A2" s="11" t="str">
        <x:v>Ferramenta do ciclo de idealização até conceito aprovado. Preencha somente quando aplicável ao produto.</x:v>
      </x:c>
      <x:c r="B2" s="11"/>
      <x:c r="C2" s="11"/>
      <x:c r="D2" s="11"/>
      <x:c r="E2" s="11"/>
      <x:c r="F2" s="11"/>
      <x:c r="G2" s="11"/>
      <x:c r="H2" s="11"/>
    </x:row>
    <x:row r="3">
      <x:c r="A3" s="58" t="str">
        <x:v>Código</x:v>
      </x:c>
      <x:c r="B3" s="32" t="str">
        <x:v>G5_APREND</x:v>
      </x:c>
      <x:c r="C3" s="32" t="str"/>
      <x:c r="D3" s="58" t="str">
        <x:v>Gate</x:v>
      </x:c>
      <x:c r="E3" s="32" t="str">
        <x:v>Gate 5 — Conceito Final Aprovado</x:v>
      </x:c>
      <x:c r="F3" s="32" t="str"/>
      <x:c r="G3" s="58" t="str">
        <x:v>Tipo</x:v>
      </x:c>
      <x:c r="H3" s="32" t="str">
        <x:v>Entregável</x:v>
      </x:c>
    </x:row>
    <x:row r="4">
      <x:c r="A4" s="58" t="str">
        <x:v>Propósito</x:v>
      </x:c>
      <x:c r="B4" s="32" t="str">
        <x:v>Indicar o que investigar depois</x:v>
      </x:c>
      <x:c r="C4" s="32" t="str"/>
      <x:c r="D4" s="58" t="str">
        <x:v>Quando usar</x:v>
      </x:c>
      <x:c r="E4" s="32" t="str">
        <x:v>Conforme pacote inteligente / Mapa_Selecao</x:v>
      </x:c>
      <x:c r="F4" s="32" t="str"/>
      <x:c r="G4" s="58" t="str">
        <x:v>Observações</x:v>
      </x:c>
      <x:c r="H4" s="32" t="str">
        <x:v>Não substitui projeto detalhado; registra hipóteses, alertas e incertezas.</x:v>
      </x:c>
    </x:row>
    <x:row r="5">
      <x:c r="A5" s="58" t="str">
        <x:v>Produto</x:v>
      </x:c>
      <x:c r="B5" s="32" t="str">
        <x:f>IF(Dashboard!B4="","",Dashboard!B4)</x:f>
      </x:c>
      <x:c r="C5" s="32" t="str"/>
      <x:c r="D5" s="58" t="str">
        <x:v>Responsável</x:v>
      </x:c>
      <x:c r="E5" s="32" t="str">
        <x:f>IF(Dashboard!B6="","",Dashboard!B6)</x:f>
      </x:c>
      <x:c r="F5" s="32" t="str"/>
      <x:c r="G5" s="58" t="str">
        <x:v>Status</x:v>
      </x:c>
      <x:c r="H5" s="32" t="str"/>
    </x:row>
    <x:row r="6">
      <x:c r="A6" s="61" t="e">
        <x:f>HYPERLINK("#'Dashboard'!A1","← Dashboard")</x:f>
      </x:c>
      <x:c r="B6" s="61" t="e">
        <x:f>HYPERLINK("#'Indice'!A1","Índice")</x:f>
      </x:c>
      <x:c r="C6" s="61" t="e">
        <x:f>HYPERLINK("#'Mapa_Selecao'!A1","Mapa de seleção")</x:f>
      </x:c>
    </x:row>
    <x:row r="8">
      <x:c r="A8" s="66" t="str">
        <x:v>Formulário de aplicação da ferramenta</x:v>
      </x:c>
      <x:c r="B8" s="66"/>
      <x:c r="C8" s="66"/>
      <x:c r="D8" s="66"/>
      <x:c r="E8" s="66"/>
      <x:c r="F8" s="66"/>
    </x:row>
    <x:row r="9">
      <x:c r="A9" s="20" t="str">
        <x:v>Item</x:v>
      </x:c>
      <x:c r="B9" s="20" t="str">
        <x:v>Pergunta / campo</x:v>
      </x:c>
      <x:c r="C9" s="20" t="str">
        <x:v>Resposta</x:v>
      </x:c>
      <x:c r="D9" s="20" t="str">
        <x:v>Evidência / observação</x:v>
      </x:c>
      <x:c r="E9" s="20" t="str">
        <x:v>Responsável</x:v>
      </x:c>
      <x:c r="F9" s="20" t="str">
        <x:v>Status</x:v>
      </x:c>
    </x:row>
    <x:row r="10">
      <x:c r="A10" s="32" t="str">
        <x:v>1</x:v>
      </x:c>
      <x:c r="B10" s="32" t="str">
        <x:v>Qual é o objetivo desta ferramenta para este produto?</x:v>
      </x:c>
      <x:c r="C10" s="32" t="str"/>
      <x:c r="D10" s="32" t="str"/>
      <x:c r="E10" s="32" t="str"/>
      <x:c r="F10" s="32" t="str"/>
    </x:row>
    <x:row r="11">
      <x:c r="A11" s="32" t="str">
        <x:v>2</x:v>
      </x:c>
      <x:c r="B11" s="32" t="str">
        <x:v>Quais informações já estão disponíveis?</x:v>
      </x:c>
      <x:c r="C11" s="32" t="str"/>
      <x:c r="D11" s="32" t="str"/>
      <x:c r="E11" s="32" t="str"/>
      <x:c r="F11" s="32" t="str"/>
    </x:row>
    <x:row r="12">
      <x:c r="A12" s="32" t="str">
        <x:v>3</x:v>
      </x:c>
      <x:c r="B12" s="32" t="str">
        <x:v>Quais informações ainda estão pendentes?</x:v>
      </x:c>
      <x:c r="C12" s="32" t="str"/>
      <x:c r="D12" s="32" t="str"/>
      <x:c r="E12" s="32" t="str"/>
      <x:c r="F12" s="32" t="str"/>
    </x:row>
    <x:row r="13">
      <x:c r="A13" s="32" t="str">
        <x:v>4</x:v>
      </x:c>
      <x:c r="B13" s="32" t="str">
        <x:v>Quais achados impactam o conceito?</x:v>
      </x:c>
      <x:c r="C13" s="32" t="str"/>
      <x:c r="D13" s="32" t="str"/>
      <x:c r="E13" s="32" t="str"/>
      <x:c r="F13" s="32" t="str"/>
    </x:row>
    <x:row r="14">
      <x:c r="A14" s="32" t="str">
        <x:v>5</x:v>
      </x:c>
      <x:c r="B14" s="32" t="str">
        <x:v>Quais incertezas devem seguir para o próximo Gate?</x:v>
      </x:c>
      <x:c r="C14" s="32" t="str"/>
      <x:c r="D14" s="32" t="str"/>
      <x:c r="E14" s="32" t="str"/>
      <x:c r="F14" s="32" t="str"/>
    </x:row>
    <x:row r="15">
      <x:c r="A15" s="32"/>
      <x:c r="B15" s="32"/>
      <x:c r="C15" s="32"/>
      <x:c r="D15" s="32"/>
      <x:c r="E15" s="32"/>
      <x:c r="F15" s="32"/>
    </x:row>
    <x:row r="16">
      <x:c r="A16" s="32"/>
      <x:c r="B16" s="32"/>
      <x:c r="C16" s="32"/>
      <x:c r="D16" s="32"/>
      <x:c r="E16" s="32"/>
      <x:c r="F16" s="32"/>
    </x:row>
    <x:row r="17">
      <x:c r="A17" s="32"/>
      <x:c r="B17" s="32"/>
      <x:c r="C17" s="32"/>
      <x:c r="D17" s="32"/>
      <x:c r="E17" s="32"/>
      <x:c r="F17" s="32"/>
    </x:row>
    <x:row r="18">
      <x:c r="A18" s="32"/>
      <x:c r="B18" s="32"/>
      <x:c r="C18" s="32"/>
      <x:c r="D18" s="32"/>
      <x:c r="E18" s="32"/>
      <x:c r="F18" s="32"/>
    </x:row>
    <x:row r="19">
      <x:c r="A19" s="32"/>
      <x:c r="B19" s="32"/>
      <x:c r="C19" s="32"/>
      <x:c r="D19" s="32"/>
      <x:c r="E19" s="32"/>
      <x:c r="F19" s="32"/>
    </x:row>
    <x:row r="20">
      <x:c r="A20" s="32"/>
      <x:c r="B20" s="32"/>
      <x:c r="C20" s="32"/>
      <x:c r="D20" s="32"/>
      <x:c r="E20" s="32"/>
      <x:c r="F20" s="32"/>
    </x:row>
  </x:sheetData>
  <x:mergeCells>
    <x:mergeCell ref="A1:H1"/>
    <x:mergeCell ref="A2:H2"/>
    <x:mergeCell ref="A8:F8"/>
  </x:mergeCells>
  <x:dataValidations count="2">
    <x:dataValidation type="list" sqref="H5">
      <x:formula1>"Não iniciado,Em preenchimento,Em revisão,Concluído"</x:formula1>
    </x:dataValidation>
    <x:dataValidation type="list" sqref="F10:F20">
      <x:formula1>"Não iniciado,Em preenchimento,Concluído,N/A"</x:formula1>
    </x:dataValidation>
  </x:dataValidations>
  <x:pageMargins left="0.7" right="0.7" top="0.75" bottom="0.75" header="0.3" footer="0.3"/>
</x:worksheet>
</file>

<file path=xl/worksheets/sheet83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38" hidden="0" customWidth="1"/>
    <x:col min="3" max="3" width="28" hidden="0" customWidth="1"/>
    <x:col min="4" max="4" width="42" hidden="0" customWidth="1"/>
    <x:col min="5" max="5" width="18" hidden="0" customWidth="1"/>
    <x:col min="6" max="6" width="16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</x:cols>
  <x:sheetData>
    <x:row r="1">
      <x:c r="A1" s="4" t="str">
        <x:v>Premissas e restrições do conceito</x:v>
      </x:c>
      <x:c r="B1" s="4"/>
      <x:c r="C1" s="4"/>
      <x:c r="D1" s="4"/>
      <x:c r="E1" s="4"/>
      <x:c r="F1" s="4"/>
      <x:c r="G1" s="4"/>
      <x:c r="H1" s="4"/>
    </x:row>
    <x:row r="2">
      <x:c r="A2" s="11" t="str">
        <x:v>Ferramenta do ciclo de idealização até conceito aprovado. Preencha somente quando aplicável ao produto.</x:v>
      </x:c>
      <x:c r="B2" s="11"/>
      <x:c r="C2" s="11"/>
      <x:c r="D2" s="11"/>
      <x:c r="E2" s="11"/>
      <x:c r="F2" s="11"/>
      <x:c r="G2" s="11"/>
      <x:c r="H2" s="11"/>
    </x:row>
    <x:row r="3">
      <x:c r="A3" s="58" t="str">
        <x:v>Código</x:v>
      </x:c>
      <x:c r="B3" s="32" t="str">
        <x:v>G5_PREM</x:v>
      </x:c>
      <x:c r="C3" s="32" t="str"/>
      <x:c r="D3" s="58" t="str">
        <x:v>Gate</x:v>
      </x:c>
      <x:c r="E3" s="32" t="str">
        <x:v>Gate 5 — Conceito Final Aprovado</x:v>
      </x:c>
      <x:c r="F3" s="32" t="str"/>
      <x:c r="G3" s="58" t="str">
        <x:v>Tipo</x:v>
      </x:c>
      <x:c r="H3" s="32" t="str">
        <x:v>Entregável</x:v>
      </x:c>
    </x:row>
    <x:row r="4">
      <x:c r="A4" s="58" t="str">
        <x:v>Propósito</x:v>
      </x:c>
      <x:c r="B4" s="32" t="str">
        <x:v>Registrar hipóteses e limites conhecidos</x:v>
      </x:c>
      <x:c r="C4" s="32" t="str"/>
      <x:c r="D4" s="58" t="str">
        <x:v>Quando usar</x:v>
      </x:c>
      <x:c r="E4" s="32" t="str">
        <x:v>Conforme pacote inteligente / Mapa_Selecao</x:v>
      </x:c>
      <x:c r="F4" s="32" t="str"/>
      <x:c r="G4" s="58" t="str">
        <x:v>Observações</x:v>
      </x:c>
      <x:c r="H4" s="32" t="str">
        <x:v>Não substitui projeto detalhado; registra hipóteses, alertas e incertezas.</x:v>
      </x:c>
    </x:row>
    <x:row r="5">
      <x:c r="A5" s="58" t="str">
        <x:v>Produto</x:v>
      </x:c>
      <x:c r="B5" s="32" t="str">
        <x:f>IF(Dashboard!B4="","",Dashboard!B4)</x:f>
      </x:c>
      <x:c r="C5" s="32" t="str"/>
      <x:c r="D5" s="58" t="str">
        <x:v>Responsável</x:v>
      </x:c>
      <x:c r="E5" s="32" t="str">
        <x:f>IF(Dashboard!B6="","",Dashboard!B6)</x:f>
      </x:c>
      <x:c r="F5" s="32" t="str"/>
      <x:c r="G5" s="58" t="str">
        <x:v>Status</x:v>
      </x:c>
      <x:c r="H5" s="32" t="str"/>
    </x:row>
    <x:row r="6">
      <x:c r="A6" s="61" t="e">
        <x:f>HYPERLINK("#'Dashboard'!A1","← Dashboard")</x:f>
      </x:c>
      <x:c r="B6" s="61" t="e">
        <x:f>HYPERLINK("#'Indice'!A1","Índice")</x:f>
      </x:c>
      <x:c r="C6" s="61" t="e">
        <x:f>HYPERLINK("#'Mapa_Selecao'!A1","Mapa de seleção")</x:f>
      </x:c>
    </x:row>
    <x:row r="8">
      <x:c r="A8" s="66" t="str">
        <x:v>Formulário de aplicação da ferramenta</x:v>
      </x:c>
      <x:c r="B8" s="66"/>
      <x:c r="C8" s="66"/>
      <x:c r="D8" s="66"/>
      <x:c r="E8" s="66"/>
      <x:c r="F8" s="66"/>
    </x:row>
    <x:row r="9">
      <x:c r="A9" s="20" t="str">
        <x:v>Item</x:v>
      </x:c>
      <x:c r="B9" s="20" t="str">
        <x:v>Pergunta / campo</x:v>
      </x:c>
      <x:c r="C9" s="20" t="str">
        <x:v>Resposta</x:v>
      </x:c>
      <x:c r="D9" s="20" t="str">
        <x:v>Evidência / observação</x:v>
      </x:c>
      <x:c r="E9" s="20" t="str">
        <x:v>Responsável</x:v>
      </x:c>
      <x:c r="F9" s="20" t="str">
        <x:v>Status</x:v>
      </x:c>
    </x:row>
    <x:row r="10">
      <x:c r="A10" s="32" t="str">
        <x:v>1</x:v>
      </x:c>
      <x:c r="B10" s="32" t="str">
        <x:v>Qual é o objetivo desta ferramenta para este produto?</x:v>
      </x:c>
      <x:c r="C10" s="32" t="str"/>
      <x:c r="D10" s="32" t="str"/>
      <x:c r="E10" s="32" t="str"/>
      <x:c r="F10" s="32" t="str"/>
    </x:row>
    <x:row r="11">
      <x:c r="A11" s="32" t="str">
        <x:v>2</x:v>
      </x:c>
      <x:c r="B11" s="32" t="str">
        <x:v>Quais informações já estão disponíveis?</x:v>
      </x:c>
      <x:c r="C11" s="32" t="str"/>
      <x:c r="D11" s="32" t="str"/>
      <x:c r="E11" s="32" t="str"/>
      <x:c r="F11" s="32" t="str"/>
    </x:row>
    <x:row r="12">
      <x:c r="A12" s="32" t="str">
        <x:v>3</x:v>
      </x:c>
      <x:c r="B12" s="32" t="str">
        <x:v>Quais informações ainda estão pendentes?</x:v>
      </x:c>
      <x:c r="C12" s="32" t="str"/>
      <x:c r="D12" s="32" t="str"/>
      <x:c r="E12" s="32" t="str"/>
      <x:c r="F12" s="32" t="str"/>
    </x:row>
    <x:row r="13">
      <x:c r="A13" s="32" t="str">
        <x:v>4</x:v>
      </x:c>
      <x:c r="B13" s="32" t="str">
        <x:v>Quais achados impactam o conceito?</x:v>
      </x:c>
      <x:c r="C13" s="32" t="str"/>
      <x:c r="D13" s="32" t="str"/>
      <x:c r="E13" s="32" t="str"/>
      <x:c r="F13" s="32" t="str"/>
    </x:row>
    <x:row r="14">
      <x:c r="A14" s="32" t="str">
        <x:v>5</x:v>
      </x:c>
      <x:c r="B14" s="32" t="str">
        <x:v>Quais incertezas devem seguir para o próximo Gate?</x:v>
      </x:c>
      <x:c r="C14" s="32" t="str"/>
      <x:c r="D14" s="32" t="str"/>
      <x:c r="E14" s="32" t="str"/>
      <x:c r="F14" s="32" t="str"/>
    </x:row>
    <x:row r="15">
      <x:c r="A15" s="32"/>
      <x:c r="B15" s="32"/>
      <x:c r="C15" s="32"/>
      <x:c r="D15" s="32"/>
      <x:c r="E15" s="32"/>
      <x:c r="F15" s="32"/>
    </x:row>
    <x:row r="16">
      <x:c r="A16" s="32"/>
      <x:c r="B16" s="32"/>
      <x:c r="C16" s="32"/>
      <x:c r="D16" s="32"/>
      <x:c r="E16" s="32"/>
      <x:c r="F16" s="32"/>
    </x:row>
    <x:row r="17">
      <x:c r="A17" s="32"/>
      <x:c r="B17" s="32"/>
      <x:c r="C17" s="32"/>
      <x:c r="D17" s="32"/>
      <x:c r="E17" s="32"/>
      <x:c r="F17" s="32"/>
    </x:row>
    <x:row r="18">
      <x:c r="A18" s="32"/>
      <x:c r="B18" s="32"/>
      <x:c r="C18" s="32"/>
      <x:c r="D18" s="32"/>
      <x:c r="E18" s="32"/>
      <x:c r="F18" s="32"/>
    </x:row>
    <x:row r="19">
      <x:c r="A19" s="32"/>
      <x:c r="B19" s="32"/>
      <x:c r="C19" s="32"/>
      <x:c r="D19" s="32"/>
      <x:c r="E19" s="32"/>
      <x:c r="F19" s="32"/>
    </x:row>
    <x:row r="20">
      <x:c r="A20" s="32"/>
      <x:c r="B20" s="32"/>
      <x:c r="C20" s="32"/>
      <x:c r="D20" s="32"/>
      <x:c r="E20" s="32"/>
      <x:c r="F20" s="32"/>
    </x:row>
  </x:sheetData>
  <x:mergeCells>
    <x:mergeCell ref="A1:H1"/>
    <x:mergeCell ref="A2:H2"/>
    <x:mergeCell ref="A8:F8"/>
  </x:mergeCells>
  <x:dataValidations count="2">
    <x:dataValidation type="list" sqref="H5">
      <x:formula1>"Não iniciado,Em preenchimento,Em revisão,Concluído"</x:formula1>
    </x:dataValidation>
    <x:dataValidation type="list" sqref="F10:F20">
      <x:formula1>"Não iniciado,Em preenchimento,Concluído,N/A"</x:formula1>
    </x:dataValidation>
  </x:dataValidations>
  <x:pageMargins left="0.7" right="0.7" top="0.75" bottom="0.75" header="0.3" footer="0.3"/>
</x:worksheet>
</file>

<file path=xl/worksheets/sheet84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38" hidden="0" customWidth="1"/>
    <x:col min="3" max="3" width="28" hidden="0" customWidth="1"/>
    <x:col min="4" max="4" width="42" hidden="0" customWidth="1"/>
    <x:col min="5" max="5" width="18" hidden="0" customWidth="1"/>
    <x:col min="6" max="6" width="16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</x:cols>
  <x:sheetData>
    <x:row r="1">
      <x:c r="A1" s="4" t="str">
        <x:v>Recomendações para próxima fase</x:v>
      </x:c>
      <x:c r="B1" s="4"/>
      <x:c r="C1" s="4"/>
      <x:c r="D1" s="4"/>
      <x:c r="E1" s="4"/>
      <x:c r="F1" s="4"/>
      <x:c r="G1" s="4"/>
      <x:c r="H1" s="4"/>
    </x:row>
    <x:row r="2">
      <x:c r="A2" s="11" t="str">
        <x:v>Ferramenta do ciclo de idealização até conceito aprovado. Preencha somente quando aplicável ao produto.</x:v>
      </x:c>
      <x:c r="B2" s="11"/>
      <x:c r="C2" s="11"/>
      <x:c r="D2" s="11"/>
      <x:c r="E2" s="11"/>
      <x:c r="F2" s="11"/>
      <x:c r="G2" s="11"/>
      <x:c r="H2" s="11"/>
    </x:row>
    <x:row r="3">
      <x:c r="A3" s="58" t="str">
        <x:v>Código</x:v>
      </x:c>
      <x:c r="B3" s="32" t="str">
        <x:v>G5_RECOM</x:v>
      </x:c>
      <x:c r="C3" s="32" t="str"/>
      <x:c r="D3" s="58" t="str">
        <x:v>Gate</x:v>
      </x:c>
      <x:c r="E3" s="32" t="str">
        <x:v>Gate 5 — Conceito Final Aprovado</x:v>
      </x:c>
      <x:c r="F3" s="32" t="str"/>
      <x:c r="G3" s="58" t="str">
        <x:v>Tipo</x:v>
      </x:c>
      <x:c r="H3" s="32" t="str">
        <x:v>Entregável</x:v>
      </x:c>
    </x:row>
    <x:row r="4">
      <x:c r="A4" s="58" t="str">
        <x:v>Propósito</x:v>
      </x:c>
      <x:c r="B4" s="32" t="str">
        <x:v>Orientar equipe de projeto posterior</x:v>
      </x:c>
      <x:c r="C4" s="32" t="str"/>
      <x:c r="D4" s="58" t="str">
        <x:v>Quando usar</x:v>
      </x:c>
      <x:c r="E4" s="32" t="str">
        <x:v>Conforme pacote inteligente / Mapa_Selecao</x:v>
      </x:c>
      <x:c r="F4" s="32" t="str"/>
      <x:c r="G4" s="58" t="str">
        <x:v>Observações</x:v>
      </x:c>
      <x:c r="H4" s="32" t="str">
        <x:v>Não substitui projeto detalhado; registra hipóteses, alertas e incertezas.</x:v>
      </x:c>
    </x:row>
    <x:row r="5">
      <x:c r="A5" s="58" t="str">
        <x:v>Produto</x:v>
      </x:c>
      <x:c r="B5" s="32" t="str">
        <x:f>IF(Dashboard!B4="","",Dashboard!B4)</x:f>
      </x:c>
      <x:c r="C5" s="32" t="str"/>
      <x:c r="D5" s="58" t="str">
        <x:v>Responsável</x:v>
      </x:c>
      <x:c r="E5" s="32" t="str">
        <x:f>IF(Dashboard!B6="","",Dashboard!B6)</x:f>
      </x:c>
      <x:c r="F5" s="32" t="str"/>
      <x:c r="G5" s="58" t="str">
        <x:v>Status</x:v>
      </x:c>
      <x:c r="H5" s="32" t="str"/>
    </x:row>
    <x:row r="6">
      <x:c r="A6" s="61" t="e">
        <x:f>HYPERLINK("#'Dashboard'!A1","← Dashboard")</x:f>
      </x:c>
      <x:c r="B6" s="61" t="e">
        <x:f>HYPERLINK("#'Indice'!A1","Índice")</x:f>
      </x:c>
      <x:c r="C6" s="61" t="e">
        <x:f>HYPERLINK("#'Mapa_Selecao'!A1","Mapa de seleção")</x:f>
      </x:c>
    </x:row>
    <x:row r="8">
      <x:c r="A8" s="66" t="str">
        <x:v>Formulário de aplicação da ferramenta</x:v>
      </x:c>
      <x:c r="B8" s="66"/>
      <x:c r="C8" s="66"/>
      <x:c r="D8" s="66"/>
      <x:c r="E8" s="66"/>
      <x:c r="F8" s="66"/>
    </x:row>
    <x:row r="9">
      <x:c r="A9" s="20" t="str">
        <x:v>Item</x:v>
      </x:c>
      <x:c r="B9" s="20" t="str">
        <x:v>Pergunta / campo</x:v>
      </x:c>
      <x:c r="C9" s="20" t="str">
        <x:v>Resposta</x:v>
      </x:c>
      <x:c r="D9" s="20" t="str">
        <x:v>Evidência / observação</x:v>
      </x:c>
      <x:c r="E9" s="20" t="str">
        <x:v>Responsável</x:v>
      </x:c>
      <x:c r="F9" s="20" t="str">
        <x:v>Status</x:v>
      </x:c>
    </x:row>
    <x:row r="10">
      <x:c r="A10" s="32" t="str">
        <x:v>1</x:v>
      </x:c>
      <x:c r="B10" s="32" t="str">
        <x:v>Qual é o objetivo desta ferramenta para este produto?</x:v>
      </x:c>
      <x:c r="C10" s="32" t="str"/>
      <x:c r="D10" s="32" t="str"/>
      <x:c r="E10" s="32" t="str"/>
      <x:c r="F10" s="32" t="str"/>
    </x:row>
    <x:row r="11">
      <x:c r="A11" s="32" t="str">
        <x:v>2</x:v>
      </x:c>
      <x:c r="B11" s="32" t="str">
        <x:v>Quais informações já estão disponíveis?</x:v>
      </x:c>
      <x:c r="C11" s="32" t="str"/>
      <x:c r="D11" s="32" t="str"/>
      <x:c r="E11" s="32" t="str"/>
      <x:c r="F11" s="32" t="str"/>
    </x:row>
    <x:row r="12">
      <x:c r="A12" s="32" t="str">
        <x:v>3</x:v>
      </x:c>
      <x:c r="B12" s="32" t="str">
        <x:v>Quais informações ainda estão pendentes?</x:v>
      </x:c>
      <x:c r="C12" s="32" t="str"/>
      <x:c r="D12" s="32" t="str"/>
      <x:c r="E12" s="32" t="str"/>
      <x:c r="F12" s="32" t="str"/>
    </x:row>
    <x:row r="13">
      <x:c r="A13" s="32" t="str">
        <x:v>4</x:v>
      </x:c>
      <x:c r="B13" s="32" t="str">
        <x:v>Quais achados impactam o conceito?</x:v>
      </x:c>
      <x:c r="C13" s="32" t="str"/>
      <x:c r="D13" s="32" t="str"/>
      <x:c r="E13" s="32" t="str"/>
      <x:c r="F13" s="32" t="str"/>
    </x:row>
    <x:row r="14">
      <x:c r="A14" s="32" t="str">
        <x:v>5</x:v>
      </x:c>
      <x:c r="B14" s="32" t="str">
        <x:v>Quais incertezas devem seguir para o próximo Gate?</x:v>
      </x:c>
      <x:c r="C14" s="32" t="str"/>
      <x:c r="D14" s="32" t="str"/>
      <x:c r="E14" s="32" t="str"/>
      <x:c r="F14" s="32" t="str"/>
    </x:row>
    <x:row r="15">
      <x:c r="A15" s="32"/>
      <x:c r="B15" s="32"/>
      <x:c r="C15" s="32"/>
      <x:c r="D15" s="32"/>
      <x:c r="E15" s="32"/>
      <x:c r="F15" s="32"/>
    </x:row>
    <x:row r="16">
      <x:c r="A16" s="32"/>
      <x:c r="B16" s="32"/>
      <x:c r="C16" s="32"/>
      <x:c r="D16" s="32"/>
      <x:c r="E16" s="32"/>
      <x:c r="F16" s="32"/>
    </x:row>
    <x:row r="17">
      <x:c r="A17" s="32"/>
      <x:c r="B17" s="32"/>
      <x:c r="C17" s="32"/>
      <x:c r="D17" s="32"/>
      <x:c r="E17" s="32"/>
      <x:c r="F17" s="32"/>
    </x:row>
    <x:row r="18">
      <x:c r="A18" s="32"/>
      <x:c r="B18" s="32"/>
      <x:c r="C18" s="32"/>
      <x:c r="D18" s="32"/>
      <x:c r="E18" s="32"/>
      <x:c r="F18" s="32"/>
    </x:row>
    <x:row r="19">
      <x:c r="A19" s="32"/>
      <x:c r="B19" s="32"/>
      <x:c r="C19" s="32"/>
      <x:c r="D19" s="32"/>
      <x:c r="E19" s="32"/>
      <x:c r="F19" s="32"/>
    </x:row>
    <x:row r="20">
      <x:c r="A20" s="32"/>
      <x:c r="B20" s="32"/>
      <x:c r="C20" s="32"/>
      <x:c r="D20" s="32"/>
      <x:c r="E20" s="32"/>
      <x:c r="F20" s="32"/>
    </x:row>
  </x:sheetData>
  <x:mergeCells>
    <x:mergeCell ref="A1:H1"/>
    <x:mergeCell ref="A2:H2"/>
    <x:mergeCell ref="A8:F8"/>
  </x:mergeCells>
  <x:dataValidations count="2">
    <x:dataValidation type="list" sqref="H5">
      <x:formula1>"Não iniciado,Em preenchimento,Em revisão,Concluído"</x:formula1>
    </x:dataValidation>
    <x:dataValidation type="list" sqref="F10:F20">
      <x:formula1>"Não iniciado,Em preenchimento,Concluído,N/A"</x:formula1>
    </x:dataValidation>
  </x:dataValidations>
  <x:pageMargins left="0.7" right="0.7" top="0.75" bottom="0.75" header="0.3" footer="0.3"/>
</x:worksheet>
</file>

<file path=xl/worksheets/sheet85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24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</x:cols>
  <x:sheetData>
    <x:row r="1">
      <x:c r="A1" s="4" t="str">
        <x:v>One-Page Concept</x:v>
      </x:c>
      <x:c r="B1" s="4"/>
      <x:c r="C1" s="4"/>
      <x:c r="D1" s="4"/>
      <x:c r="E1" s="4"/>
      <x:c r="F1" s="4"/>
      <x:c r="G1" s="4"/>
      <x:c r="H1" s="4"/>
    </x:row>
    <x:row r="2">
      <x:c r="A2" s="11" t="str">
        <x:v>Ferramenta do ciclo de idealização até conceito aprovado. Preencha somente quando aplicável ao produto.</x:v>
      </x:c>
      <x:c r="B2" s="11"/>
      <x:c r="C2" s="11"/>
      <x:c r="D2" s="11"/>
      <x:c r="E2" s="11"/>
      <x:c r="F2" s="11"/>
      <x:c r="G2" s="11"/>
      <x:c r="H2" s="11"/>
    </x:row>
    <x:row r="3">
      <x:c r="A3" s="58" t="str">
        <x:v>Código</x:v>
      </x:c>
      <x:c r="B3" s="32" t="str">
        <x:v>G5_ONEPAGE</x:v>
      </x:c>
      <x:c r="C3" s="32" t="str"/>
      <x:c r="D3" s="58" t="str">
        <x:v>Gate</x:v>
      </x:c>
      <x:c r="E3" s="32" t="str">
        <x:v>Gate 5 — Conceito Final Aprovado</x:v>
      </x:c>
      <x:c r="F3" s="32" t="str"/>
      <x:c r="G3" s="58" t="str">
        <x:v>Tipo</x:v>
      </x:c>
      <x:c r="H3" s="32" t="str">
        <x:v>Entregável</x:v>
      </x:c>
    </x:row>
    <x:row r="4">
      <x:c r="A4" s="58" t="str">
        <x:v>Propósito</x:v>
      </x:c>
      <x:c r="B4" s="32" t="str">
        <x:v>Resumir o conceito em uma página</x:v>
      </x:c>
      <x:c r="C4" s="32" t="str"/>
      <x:c r="D4" s="58" t="str">
        <x:v>Quando usar</x:v>
      </x:c>
      <x:c r="E4" s="32" t="str">
        <x:v>Conforme pacote inteligente / Mapa_Selecao</x:v>
      </x:c>
      <x:c r="F4" s="32" t="str"/>
      <x:c r="G4" s="58" t="str">
        <x:v>Observações</x:v>
      </x:c>
      <x:c r="H4" s="32" t="str">
        <x:v>Não substitui projeto detalhado; registra hipóteses, alertas e incertezas.</x:v>
      </x:c>
    </x:row>
    <x:row r="5">
      <x:c r="A5" s="58" t="str">
        <x:v>Produto</x:v>
      </x:c>
      <x:c r="B5" s="32" t="str">
        <x:f>IF(Dashboard!B4="","",Dashboard!B4)</x:f>
      </x:c>
      <x:c r="C5" s="32" t="str"/>
      <x:c r="D5" s="58" t="str">
        <x:v>Responsável</x:v>
      </x:c>
      <x:c r="E5" s="32" t="str">
        <x:f>IF(Dashboard!B6="","",Dashboard!B6)</x:f>
      </x:c>
      <x:c r="F5" s="32" t="str"/>
      <x:c r="G5" s="58" t="str">
        <x:v>Status</x:v>
      </x:c>
      <x:c r="H5" s="32" t="str"/>
    </x:row>
    <x:row r="6">
      <x:c r="A6" s="61" t="e">
        <x:f>HYPERLINK("#'Dashboard'!A1","← Dashboard")</x:f>
      </x:c>
      <x:c r="B6" s="61" t="e">
        <x:f>HYPERLINK("#'Indice'!A1","Índice")</x:f>
      </x:c>
      <x:c r="C6" s="61" t="e">
        <x:f>HYPERLINK("#'Mapa_Selecao'!A1","Mapa de seleção")</x:f>
      </x:c>
    </x:row>
    <x:row r="8">
      <x:c r="A8" s="66" t="str">
        <x:v>One-Page Concept</x:v>
      </x:c>
      <x:c r="B8" s="66" t="str"/>
      <x:c r="C8" s="66" t="str"/>
      <x:c r="D8" s="66" t="str"/>
      <x:c r="E8" s="66" t="str"/>
      <x:c r="F8" s="66" t="str"/>
      <x:c r="G8" s="66" t="str"/>
      <x:c r="H8" s="66" t="str"/>
    </x:row>
    <x:row r="9">
      <x:c r="A9" s="20" t="str">
        <x:v>Campo</x:v>
      </x:c>
      <x:c r="B9" s="20" t="str">
        <x:v>Conteúdo</x:v>
      </x:c>
    </x:row>
    <x:row r="10">
      <x:c r="A10" s="47" t="str">
        <x:v>Produto / conceito</x:v>
      </x:c>
      <x:c r="B10" s="37" t="str"/>
      <x:c r="C10" s="37"/>
      <x:c r="D10" s="37"/>
      <x:c r="E10" s="37"/>
      <x:c r="F10" s="37"/>
      <x:c r="G10" s="37"/>
      <x:c r="H10" s="37"/>
    </x:row>
    <x:row r="11">
      <x:c r="A11" s="47" t="str">
        <x:v>Problema / oportunidade</x:v>
      </x:c>
      <x:c r="B11" s="37" t="str"/>
      <x:c r="C11" s="37"/>
      <x:c r="D11" s="37"/>
      <x:c r="E11" s="37"/>
      <x:c r="F11" s="37"/>
      <x:c r="G11" s="37"/>
      <x:c r="H11" s="37"/>
    </x:row>
    <x:row r="12">
      <x:c r="A12" s="47" t="str">
        <x:v>Usuário e ambiente</x:v>
      </x:c>
      <x:c r="B12" s="37" t="str"/>
      <x:c r="C12" s="37"/>
      <x:c r="D12" s="37"/>
      <x:c r="E12" s="37"/>
      <x:c r="F12" s="37"/>
      <x:c r="G12" s="37"/>
      <x:c r="H12" s="37"/>
    </x:row>
    <x:row r="13">
      <x:c r="A13" s="47" t="str">
        <x:v>Uso pretendido preliminar</x:v>
      </x:c>
      <x:c r="B13" s="37" t="str"/>
      <x:c r="C13" s="37"/>
      <x:c r="D13" s="37"/>
      <x:c r="E13" s="37"/>
      <x:c r="F13" s="37"/>
      <x:c r="G13" s="37"/>
      <x:c r="H13" s="37"/>
    </x:row>
    <x:row r="14">
      <x:c r="A14" s="47" t="str">
        <x:v>Proposta de valor</x:v>
      </x:c>
      <x:c r="B14" s="37" t="str"/>
      <x:c r="C14" s="37"/>
      <x:c r="D14" s="37"/>
      <x:c r="E14" s="37"/>
      <x:c r="F14" s="37"/>
      <x:c r="G14" s="37"/>
      <x:c r="H14" s="37"/>
    </x:row>
    <x:row r="15">
      <x:c r="A15" s="47" t="str">
        <x:v>Conceito selecionado</x:v>
      </x:c>
      <x:c r="B15" s="37" t="str"/>
      <x:c r="C15" s="37"/>
      <x:c r="D15" s="37"/>
      <x:c r="E15" s="37"/>
      <x:c r="F15" s="37"/>
      <x:c r="G15" s="37"/>
      <x:c r="H15" s="37"/>
    </x:row>
    <x:row r="16">
      <x:c r="A16" s="47" t="str">
        <x:v>CTQs principais</x:v>
      </x:c>
      <x:c r="B16" s="37" t="str"/>
      <x:c r="C16" s="37"/>
      <x:c r="D16" s="37"/>
      <x:c r="E16" s="37"/>
      <x:c r="F16" s="37"/>
      <x:c r="G16" s="37"/>
      <x:c r="H16" s="37"/>
    </x:row>
    <x:row r="17">
      <x:c r="A17" s="47" t="str">
        <x:v>Incertezas abertas</x:v>
      </x:c>
      <x:c r="B17" s="37" t="str"/>
      <x:c r="C17" s="37"/>
      <x:c r="D17" s="37"/>
      <x:c r="E17" s="37"/>
      <x:c r="F17" s="37"/>
      <x:c r="G17" s="37"/>
      <x:c r="H17" s="37"/>
    </x:row>
    <x:row r="18">
      <x:c r="A18" s="47" t="str">
        <x:v>Próxima fase</x:v>
      </x:c>
      <x:c r="B18" s="37" t="str"/>
      <x:c r="C18" s="37"/>
      <x:c r="D18" s="37"/>
      <x:c r="E18" s="37"/>
      <x:c r="F18" s="37"/>
      <x:c r="G18" s="37"/>
      <x:c r="H18" s="37"/>
    </x:row>
  </x:sheetData>
  <x:mergeCells>
    <x:mergeCell ref="A1:H1"/>
    <x:mergeCell ref="A2:H2"/>
    <x:mergeCell ref="A8:H8"/>
    <x:mergeCell ref="B10:H10"/>
    <x:mergeCell ref="B11:H11"/>
    <x:mergeCell ref="B12:H12"/>
    <x:mergeCell ref="B13:H13"/>
    <x:mergeCell ref="B14:H14"/>
    <x:mergeCell ref="B15:H15"/>
    <x:mergeCell ref="B16:H16"/>
    <x:mergeCell ref="B17:H17"/>
    <x:mergeCell ref="B18:H18"/>
  </x:mergeCells>
  <x:dataValidations count="1">
    <x:dataValidation type="list" sqref="H5">
      <x:formula1>"Não iniciado,Em preenchimento,Em revisão,Concluído"</x:formula1>
    </x:dataValidation>
  </x:dataValidations>
  <x:pageMargins left="0.7" right="0.7" top="0.75" bottom="0.75" header="0.3" footer="0.3"/>
</x:worksheet>
</file>

<file path=xl/worksheets/sheet86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20" hidden="0" customWidth="1"/>
    <x:col min="3" max="3" width="20" hidden="0" customWidth="1"/>
    <x:col min="4" max="4" width="20" hidden="0" customWidth="1"/>
    <x:col min="5" max="5" width="20" hidden="0" customWidth="1"/>
    <x:col min="6" max="6" width="20" hidden="0" customWidth="1"/>
    <x:col min="7" max="7" width="20" hidden="0" customWidth="1"/>
    <x:col min="8" max="8" width="20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</x:cols>
  <x:sheetData>
    <x:row r="1">
      <x:c r="A1" s="4" t="str">
        <x:v>Relatório final de conceito</x:v>
      </x:c>
      <x:c r="B1" s="4"/>
      <x:c r="C1" s="4"/>
      <x:c r="D1" s="4"/>
      <x:c r="E1" s="4"/>
      <x:c r="F1" s="4"/>
      <x:c r="G1" s="4"/>
      <x:c r="H1" s="4"/>
    </x:row>
    <x:row r="2">
      <x:c r="A2" s="11" t="str">
        <x:v>Ferramenta do ciclo de idealização até conceito aprovado. Preencha somente quando aplicável ao produto.</x:v>
      </x:c>
      <x:c r="B2" s="11"/>
      <x:c r="C2" s="11"/>
      <x:c r="D2" s="11"/>
      <x:c r="E2" s="11"/>
      <x:c r="F2" s="11"/>
      <x:c r="G2" s="11"/>
      <x:c r="H2" s="11"/>
    </x:row>
    <x:row r="3">
      <x:c r="A3" s="58" t="str">
        <x:v>Código</x:v>
      </x:c>
      <x:c r="B3" s="32" t="str">
        <x:v>G5_RELFINAL</x:v>
      </x:c>
      <x:c r="C3" s="32" t="str"/>
      <x:c r="D3" s="58" t="str">
        <x:v>Gate</x:v>
      </x:c>
      <x:c r="E3" s="32" t="str">
        <x:v>Gate 5 — Conceito Final Aprovado</x:v>
      </x:c>
      <x:c r="F3" s="32" t="str"/>
      <x:c r="G3" s="58" t="str">
        <x:v>Tipo</x:v>
      </x:c>
      <x:c r="H3" s="32" t="str">
        <x:v>Entregável</x:v>
      </x:c>
    </x:row>
    <x:row r="4">
      <x:c r="A4" s="58" t="str">
        <x:v>Propósito</x:v>
      </x:c>
      <x:c r="B4" s="32" t="str">
        <x:v>Consolidar todo o ciclo conceitual</x:v>
      </x:c>
      <x:c r="C4" s="32" t="str"/>
      <x:c r="D4" s="58" t="str">
        <x:v>Quando usar</x:v>
      </x:c>
      <x:c r="E4" s="32" t="str">
        <x:v>Conforme pacote inteligente / Mapa_Selecao</x:v>
      </x:c>
      <x:c r="F4" s="32" t="str"/>
      <x:c r="G4" s="58" t="str">
        <x:v>Observações</x:v>
      </x:c>
      <x:c r="H4" s="32" t="str">
        <x:v>Não substitui projeto detalhado; registra hipóteses, alertas e incertezas.</x:v>
      </x:c>
    </x:row>
    <x:row r="5">
      <x:c r="A5" s="58" t="str">
        <x:v>Produto</x:v>
      </x:c>
      <x:c r="B5" s="32" t="str">
        <x:f>IF(Dashboard!B4="","",Dashboard!B4)</x:f>
      </x:c>
      <x:c r="C5" s="32" t="str"/>
      <x:c r="D5" s="58" t="str">
        <x:v>Responsável</x:v>
      </x:c>
      <x:c r="E5" s="32" t="str">
        <x:f>IF(Dashboard!B6="","",Dashboard!B6)</x:f>
      </x:c>
      <x:c r="F5" s="32" t="str"/>
      <x:c r="G5" s="58" t="str">
        <x:v>Status</x:v>
      </x:c>
      <x:c r="H5" s="32" t="str"/>
    </x:row>
    <x:row r="6">
      <x:c r="A6" s="61" t="e">
        <x:f>HYPERLINK("#'Dashboard'!A1","← Dashboard")</x:f>
      </x:c>
      <x:c r="B6" s="61" t="e">
        <x:f>HYPERLINK("#'Indice'!A1","Índice")</x:f>
      </x:c>
      <x:c r="C6" s="61" t="e">
        <x:f>HYPERLINK("#'Mapa_Selecao'!A1","Mapa de seleção")</x:f>
      </x:c>
    </x:row>
    <x:row r="8">
      <x:c r="A8" s="66" t="str">
        <x:v>Relatório final de conceito</x:v>
      </x:c>
      <x:c r="B8" s="66" t="str"/>
      <x:c r="C8" s="66" t="str"/>
      <x:c r="D8" s="66" t="str"/>
      <x:c r="E8" s="66" t="str"/>
      <x:c r="F8" s="66" t="str"/>
      <x:c r="G8" s="66" t="str"/>
      <x:c r="H8" s="66" t="str"/>
    </x:row>
    <x:row r="9">
      <x:c r="A9" s="20" t="str">
        <x:v>1. Introdução</x:v>
      </x:c>
      <x:c r="B9" s="20" t="str"/>
      <x:c r="C9" s="20" t="str"/>
      <x:c r="D9" s="20" t="str"/>
      <x:c r="E9" s="20" t="str"/>
      <x:c r="F9" s="20" t="str"/>
      <x:c r="G9" s="20" t="str"/>
      <x:c r="H9" s="20" t="str"/>
    </x:row>
    <x:row r="10">
      <x:c r="A10" s="37" t="str"/>
      <x:c r="B10" s="37" t="str"/>
      <x:c r="C10" s="37" t="str"/>
      <x:c r="D10" s="37" t="str"/>
      <x:c r="E10" s="37" t="str"/>
      <x:c r="F10" s="37" t="str"/>
      <x:c r="G10" s="37" t="str"/>
      <x:c r="H10" s="37" t="str"/>
    </x:row>
    <x:row r="11">
      <x:c r="A11" s="20" t="str">
        <x:v>2. Metodologia</x:v>
      </x:c>
      <x:c r="B11" s="20" t="str"/>
      <x:c r="C11" s="20" t="str"/>
      <x:c r="D11" s="20" t="str"/>
      <x:c r="E11" s="20" t="str"/>
      <x:c r="F11" s="20" t="str"/>
      <x:c r="G11" s="20" t="str"/>
      <x:c r="H11" s="20" t="str"/>
    </x:row>
    <x:row r="12">
      <x:c r="A12" s="37" t="str"/>
      <x:c r="B12" s="37" t="str"/>
      <x:c r="C12" s="37" t="str"/>
      <x:c r="D12" s="37" t="str"/>
      <x:c r="E12" s="37" t="str"/>
      <x:c r="F12" s="37" t="str"/>
      <x:c r="G12" s="37" t="str"/>
      <x:c r="H12" s="37" t="str"/>
    </x:row>
    <x:row r="13">
      <x:c r="A13" s="20" t="str">
        <x:v>3. Resultados</x:v>
      </x:c>
      <x:c r="B13" s="20" t="str"/>
      <x:c r="C13" s="20" t="str"/>
      <x:c r="D13" s="20" t="str"/>
      <x:c r="E13" s="20" t="str"/>
      <x:c r="F13" s="20" t="str"/>
      <x:c r="G13" s="20" t="str"/>
      <x:c r="H13" s="20" t="str"/>
    </x:row>
    <x:row r="14">
      <x:c r="A14" s="37" t="str"/>
      <x:c r="B14" s="37" t="str"/>
      <x:c r="C14" s="37" t="str"/>
      <x:c r="D14" s="37" t="str"/>
      <x:c r="E14" s="37" t="str"/>
      <x:c r="F14" s="37" t="str"/>
      <x:c r="G14" s="37" t="str"/>
      <x:c r="H14" s="37" t="str"/>
    </x:row>
    <x:row r="15">
      <x:c r="A15" s="20" t="str">
        <x:v>4. Matriz Go/No-Go</x:v>
      </x:c>
      <x:c r="B15" s="20" t="str"/>
      <x:c r="C15" s="20" t="str"/>
      <x:c r="D15" s="20" t="str"/>
      <x:c r="E15" s="20" t="str"/>
      <x:c r="F15" s="20" t="str"/>
      <x:c r="G15" s="20" t="str"/>
      <x:c r="H15" s="20" t="str"/>
    </x:row>
    <x:row r="16">
      <x:c r="A16" s="37" t="str"/>
      <x:c r="B16" s="37" t="str"/>
      <x:c r="C16" s="37" t="str"/>
      <x:c r="D16" s="37" t="str"/>
      <x:c r="E16" s="37" t="str"/>
      <x:c r="F16" s="37" t="str"/>
      <x:c r="G16" s="37" t="str"/>
      <x:c r="H16" s="37" t="str"/>
    </x:row>
    <x:row r="17">
      <x:c r="A17" s="20" t="str">
        <x:v>5. Conclusão</x:v>
      </x:c>
      <x:c r="B17" s="20" t="str"/>
      <x:c r="C17" s="20" t="str"/>
      <x:c r="D17" s="20" t="str"/>
      <x:c r="E17" s="20" t="str"/>
      <x:c r="F17" s="20" t="str"/>
      <x:c r="G17" s="20" t="str"/>
      <x:c r="H17" s="20" t="str"/>
    </x:row>
    <x:row r="18">
      <x:c r="A18" s="37" t="str"/>
      <x:c r="B18" s="37" t="str"/>
      <x:c r="C18" s="37" t="str"/>
      <x:c r="D18" s="37" t="str"/>
      <x:c r="E18" s="37" t="str"/>
      <x:c r="F18" s="37" t="str"/>
      <x:c r="G18" s="37" t="str"/>
      <x:c r="H18" s="37" t="str"/>
    </x:row>
    <x:row r="19">
      <x:c r="A19" s="20" t="str">
        <x:v>6. Anexos / evidências</x:v>
      </x:c>
      <x:c r="B19" s="20" t="str"/>
      <x:c r="C19" s="20" t="str"/>
      <x:c r="D19" s="20" t="str"/>
      <x:c r="E19" s="20" t="str"/>
      <x:c r="F19" s="20" t="str"/>
      <x:c r="G19" s="20" t="str"/>
      <x:c r="H19" s="20" t="str"/>
    </x:row>
    <x:row r="20">
      <x:c r="A20" s="37" t="str"/>
      <x:c r="B20" s="37" t="str"/>
      <x:c r="C20" s="37" t="str"/>
      <x:c r="D20" s="37" t="str"/>
      <x:c r="E20" s="37" t="str"/>
      <x:c r="F20" s="37" t="str"/>
      <x:c r="G20" s="37" t="str"/>
      <x:c r="H20" s="37" t="str"/>
    </x:row>
  </x:sheetData>
  <x:mergeCells>
    <x:mergeCell ref="A1:H1"/>
    <x:mergeCell ref="A2:H2"/>
    <x:mergeCell ref="A8:H8"/>
    <x:mergeCell ref="A9:H9"/>
    <x:mergeCell ref="A10:H10"/>
    <x:mergeCell ref="A11:H11"/>
    <x:mergeCell ref="A12:H12"/>
    <x:mergeCell ref="A13:H13"/>
    <x:mergeCell ref="A14:H14"/>
    <x:mergeCell ref="A15:H15"/>
    <x:mergeCell ref="A16:H16"/>
    <x:mergeCell ref="A17:H17"/>
    <x:mergeCell ref="A18:H18"/>
    <x:mergeCell ref="A19:H19"/>
    <x:mergeCell ref="A20:H20"/>
  </x:mergeCells>
  <x:dataValidations count="1">
    <x:dataValidation type="list" sqref="H5">
      <x:formula1>"Não iniciado,Em preenchimento,Em revisão,Concluído"</x:formula1>
    </x:dataValidation>
  </x:dataValidations>
  <x:pageMargins left="0.7" right="0.7" top="0.75" bottom="0.75" header="0.3" footer="0.3"/>
</x:worksheet>
</file>

<file path=xl/worksheets/sheet87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38" hidden="0" customWidth="1"/>
    <x:col min="3" max="3" width="28" hidden="0" customWidth="1"/>
    <x:col min="4" max="4" width="42" hidden="0" customWidth="1"/>
    <x:col min="5" max="5" width="18" hidden="0" customWidth="1"/>
    <x:col min="6" max="6" width="16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</x:cols>
  <x:sheetData>
    <x:row r="1">
      <x:c r="A1" s="4" t="str">
        <x:v>Termo de conceito aprovado</x:v>
      </x:c>
      <x:c r="B1" s="4"/>
      <x:c r="C1" s="4"/>
      <x:c r="D1" s="4"/>
      <x:c r="E1" s="4"/>
      <x:c r="F1" s="4"/>
      <x:c r="G1" s="4"/>
      <x:c r="H1" s="4"/>
    </x:row>
    <x:row r="2">
      <x:c r="A2" s="11" t="str">
        <x:v>Ferramenta do ciclo de idealização até conceito aprovado. Preencha somente quando aplicável ao produto.</x:v>
      </x:c>
      <x:c r="B2" s="11"/>
      <x:c r="C2" s="11"/>
      <x:c r="D2" s="11"/>
      <x:c r="E2" s="11"/>
      <x:c r="F2" s="11"/>
      <x:c r="G2" s="11"/>
      <x:c r="H2" s="11"/>
    </x:row>
    <x:row r="3">
      <x:c r="A3" s="58" t="str">
        <x:v>Código</x:v>
      </x:c>
      <x:c r="B3" s="32" t="str">
        <x:v>G5_TERMO</x:v>
      </x:c>
      <x:c r="C3" s="32" t="str"/>
      <x:c r="D3" s="58" t="str">
        <x:v>Gate</x:v>
      </x:c>
      <x:c r="E3" s="32" t="str">
        <x:v>Gate 5 — Conceito Final Aprovado</x:v>
      </x:c>
      <x:c r="F3" s="32" t="str"/>
      <x:c r="G3" s="58" t="str">
        <x:v>Tipo</x:v>
      </x:c>
      <x:c r="H3" s="32" t="str">
        <x:v>Entregável</x:v>
      </x:c>
    </x:row>
    <x:row r="4">
      <x:c r="A4" s="58" t="str">
        <x:v>Propósito</x:v>
      </x:c>
      <x:c r="B4" s="32" t="str">
        <x:v>Formalizar aprovação</x:v>
      </x:c>
      <x:c r="C4" s="32" t="str"/>
      <x:c r="D4" s="58" t="str">
        <x:v>Quando usar</x:v>
      </x:c>
      <x:c r="E4" s="32" t="str">
        <x:v>Conforme pacote inteligente / Mapa_Selecao</x:v>
      </x:c>
      <x:c r="F4" s="32" t="str"/>
      <x:c r="G4" s="58" t="str">
        <x:v>Observações</x:v>
      </x:c>
      <x:c r="H4" s="32" t="str">
        <x:v>Não substitui projeto detalhado; registra hipóteses, alertas e incertezas.</x:v>
      </x:c>
    </x:row>
    <x:row r="5">
      <x:c r="A5" s="58" t="str">
        <x:v>Produto</x:v>
      </x:c>
      <x:c r="B5" s="32" t="str">
        <x:f>IF(Dashboard!B4="","",Dashboard!B4)</x:f>
      </x:c>
      <x:c r="C5" s="32" t="str"/>
      <x:c r="D5" s="58" t="str">
        <x:v>Responsável</x:v>
      </x:c>
      <x:c r="E5" s="32" t="str">
        <x:f>IF(Dashboard!B6="","",Dashboard!B6)</x:f>
      </x:c>
      <x:c r="F5" s="32" t="str"/>
      <x:c r="G5" s="58" t="str">
        <x:v>Status</x:v>
      </x:c>
      <x:c r="H5" s="32" t="str"/>
    </x:row>
    <x:row r="6">
      <x:c r="A6" s="61" t="e">
        <x:f>HYPERLINK("#'Dashboard'!A1","← Dashboard")</x:f>
      </x:c>
      <x:c r="B6" s="61" t="e">
        <x:f>HYPERLINK("#'Indice'!A1","Índice")</x:f>
      </x:c>
      <x:c r="C6" s="61" t="e">
        <x:f>HYPERLINK("#'Mapa_Selecao'!A1","Mapa de seleção")</x:f>
      </x:c>
    </x:row>
    <x:row r="8">
      <x:c r="A8" s="66" t="str">
        <x:v>Formulário de aplicação da ferramenta</x:v>
      </x:c>
      <x:c r="B8" s="66"/>
      <x:c r="C8" s="66"/>
      <x:c r="D8" s="66"/>
      <x:c r="E8" s="66"/>
      <x:c r="F8" s="66"/>
    </x:row>
    <x:row r="9">
      <x:c r="A9" s="20" t="str">
        <x:v>Item</x:v>
      </x:c>
      <x:c r="B9" s="20" t="str">
        <x:v>Pergunta / campo</x:v>
      </x:c>
      <x:c r="C9" s="20" t="str">
        <x:v>Resposta</x:v>
      </x:c>
      <x:c r="D9" s="20" t="str">
        <x:v>Evidência / observação</x:v>
      </x:c>
      <x:c r="E9" s="20" t="str">
        <x:v>Responsável</x:v>
      </x:c>
      <x:c r="F9" s="20" t="str">
        <x:v>Status</x:v>
      </x:c>
    </x:row>
    <x:row r="10">
      <x:c r="A10" s="32" t="str">
        <x:v>1</x:v>
      </x:c>
      <x:c r="B10" s="32" t="str">
        <x:v>Qual é o objetivo desta ferramenta para este produto?</x:v>
      </x:c>
      <x:c r="C10" s="32" t="str"/>
      <x:c r="D10" s="32" t="str"/>
      <x:c r="E10" s="32" t="str"/>
      <x:c r="F10" s="32" t="str"/>
    </x:row>
    <x:row r="11">
      <x:c r="A11" s="32" t="str">
        <x:v>2</x:v>
      </x:c>
      <x:c r="B11" s="32" t="str">
        <x:v>Quais informações já estão disponíveis?</x:v>
      </x:c>
      <x:c r="C11" s="32" t="str"/>
      <x:c r="D11" s="32" t="str"/>
      <x:c r="E11" s="32" t="str"/>
      <x:c r="F11" s="32" t="str"/>
    </x:row>
    <x:row r="12">
      <x:c r="A12" s="32" t="str">
        <x:v>3</x:v>
      </x:c>
      <x:c r="B12" s="32" t="str">
        <x:v>Quais informações ainda estão pendentes?</x:v>
      </x:c>
      <x:c r="C12" s="32" t="str"/>
      <x:c r="D12" s="32" t="str"/>
      <x:c r="E12" s="32" t="str"/>
      <x:c r="F12" s="32" t="str"/>
    </x:row>
    <x:row r="13">
      <x:c r="A13" s="32" t="str">
        <x:v>4</x:v>
      </x:c>
      <x:c r="B13" s="32" t="str">
        <x:v>Quais achados impactam o conceito?</x:v>
      </x:c>
      <x:c r="C13" s="32" t="str"/>
      <x:c r="D13" s="32" t="str"/>
      <x:c r="E13" s="32" t="str"/>
      <x:c r="F13" s="32" t="str"/>
    </x:row>
    <x:row r="14">
      <x:c r="A14" s="32" t="str">
        <x:v>5</x:v>
      </x:c>
      <x:c r="B14" s="32" t="str">
        <x:v>Quais incertezas devem seguir para o próximo Gate?</x:v>
      </x:c>
      <x:c r="C14" s="32" t="str"/>
      <x:c r="D14" s="32" t="str"/>
      <x:c r="E14" s="32" t="str"/>
      <x:c r="F14" s="32" t="str"/>
    </x:row>
    <x:row r="15">
      <x:c r="A15" s="32"/>
      <x:c r="B15" s="32"/>
      <x:c r="C15" s="32"/>
      <x:c r="D15" s="32"/>
      <x:c r="E15" s="32"/>
      <x:c r="F15" s="32"/>
    </x:row>
    <x:row r="16">
      <x:c r="A16" s="32"/>
      <x:c r="B16" s="32"/>
      <x:c r="C16" s="32"/>
      <x:c r="D16" s="32"/>
      <x:c r="E16" s="32"/>
      <x:c r="F16" s="32"/>
    </x:row>
    <x:row r="17">
      <x:c r="A17" s="32"/>
      <x:c r="B17" s="32"/>
      <x:c r="C17" s="32"/>
      <x:c r="D17" s="32"/>
      <x:c r="E17" s="32"/>
      <x:c r="F17" s="32"/>
    </x:row>
    <x:row r="18">
      <x:c r="A18" s="32"/>
      <x:c r="B18" s="32"/>
      <x:c r="C18" s="32"/>
      <x:c r="D18" s="32"/>
      <x:c r="E18" s="32"/>
      <x:c r="F18" s="32"/>
    </x:row>
    <x:row r="19">
      <x:c r="A19" s="32"/>
      <x:c r="B19" s="32"/>
      <x:c r="C19" s="32"/>
      <x:c r="D19" s="32"/>
      <x:c r="E19" s="32"/>
      <x:c r="F19" s="32"/>
    </x:row>
    <x:row r="20">
      <x:c r="A20" s="32"/>
      <x:c r="B20" s="32"/>
      <x:c r="C20" s="32"/>
      <x:c r="D20" s="32"/>
      <x:c r="E20" s="32"/>
      <x:c r="F20" s="32"/>
    </x:row>
  </x:sheetData>
  <x:mergeCells>
    <x:mergeCell ref="A1:H1"/>
    <x:mergeCell ref="A2:H2"/>
    <x:mergeCell ref="A8:F8"/>
  </x:mergeCells>
  <x:dataValidations count="2">
    <x:dataValidation type="list" sqref="H5">
      <x:formula1>"Não iniciado,Em preenchimento,Em revisão,Concluído"</x:formula1>
    </x:dataValidation>
    <x:dataValidation type="list" sqref="F10:F20">
      <x:formula1>"Não iniciado,Em preenchimento,Concluído,N/A"</x:formula1>
    </x:dataValidation>
  </x:dataValidations>
  <x:pageMargins left="0.7" right="0.7" top="0.75" bottom="0.75" header="0.3" footer="0.3"/>
</x:worksheet>
</file>

<file path=xl/worksheets/sheet88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42" hidden="0" customWidth="1"/>
    <x:col min="3" max="3" width="16" hidden="0" customWidth="1"/>
    <x:col min="4" max="4" width="18" hidden="0" customWidth="1"/>
    <x:col min="5" max="5" width="34" hidden="0" customWidth="1"/>
    <x:col min="6" max="6" width="34" hidden="0" customWidth="1"/>
    <x:col min="7" max="7" width="22" hidden="0" customWidth="1"/>
    <x:col min="8" max="8" width="22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</x:cols>
  <x:sheetData>
    <x:row r="1">
      <x:c r="A1" s="4" t="str">
        <x:v>Pacote de transferência conceitual</x:v>
      </x:c>
      <x:c r="B1" s="4"/>
      <x:c r="C1" s="4"/>
      <x:c r="D1" s="4"/>
      <x:c r="E1" s="4"/>
      <x:c r="F1" s="4"/>
      <x:c r="G1" s="4"/>
      <x:c r="H1" s="4"/>
    </x:row>
    <x:row r="2">
      <x:c r="A2" s="11" t="str">
        <x:v>Ferramenta do ciclo de idealização até conceito aprovado. Preencha somente quando aplicável ao produto.</x:v>
      </x:c>
      <x:c r="B2" s="11"/>
      <x:c r="C2" s="11"/>
      <x:c r="D2" s="11"/>
      <x:c r="E2" s="11"/>
      <x:c r="F2" s="11"/>
      <x:c r="G2" s="11"/>
      <x:c r="H2" s="11"/>
    </x:row>
    <x:row r="3">
      <x:c r="A3" s="58" t="str">
        <x:v>Código</x:v>
      </x:c>
      <x:c r="B3" s="32" t="str">
        <x:v>G5_TRANSFER</x:v>
      </x:c>
      <x:c r="C3" s="32" t="str"/>
      <x:c r="D3" s="58" t="str">
        <x:v>Gate</x:v>
      </x:c>
      <x:c r="E3" s="32" t="str">
        <x:v>Gate 5 — Conceito Final Aprovado</x:v>
      </x:c>
      <x:c r="F3" s="32" t="str"/>
      <x:c r="G3" s="58" t="str">
        <x:v>Tipo</x:v>
      </x:c>
      <x:c r="H3" s="32" t="str">
        <x:v>Entregável</x:v>
      </x:c>
    </x:row>
    <x:row r="4">
      <x:c r="A4" s="58" t="str">
        <x:v>Propósito</x:v>
      </x:c>
      <x:c r="B4" s="32" t="str">
        <x:v>Entregar informações ao time de projeto</x:v>
      </x:c>
      <x:c r="C4" s="32" t="str"/>
      <x:c r="D4" s="58" t="str">
        <x:v>Quando usar</x:v>
      </x:c>
      <x:c r="E4" s="32" t="str">
        <x:v>Conforme pacote inteligente / Mapa_Selecao</x:v>
      </x:c>
      <x:c r="F4" s="32" t="str"/>
      <x:c r="G4" s="58" t="str">
        <x:v>Observações</x:v>
      </x:c>
      <x:c r="H4" s="32" t="str">
        <x:v>Não substitui projeto detalhado; registra hipóteses, alertas e incertezas.</x:v>
      </x:c>
    </x:row>
    <x:row r="5">
      <x:c r="A5" s="58" t="str">
        <x:v>Produto</x:v>
      </x:c>
      <x:c r="B5" s="32" t="str">
        <x:f>IF(Dashboard!B4="","",Dashboard!B4)</x:f>
      </x:c>
      <x:c r="C5" s="32" t="str"/>
      <x:c r="D5" s="58" t="str">
        <x:v>Responsável</x:v>
      </x:c>
      <x:c r="E5" s="32" t="str">
        <x:f>IF(Dashboard!B6="","",Dashboard!B6)</x:f>
      </x:c>
      <x:c r="F5" s="32" t="str"/>
      <x:c r="G5" s="58" t="str">
        <x:v>Status</x:v>
      </x:c>
      <x:c r="H5" s="32" t="str"/>
    </x:row>
    <x:row r="6">
      <x:c r="A6" s="61" t="e">
        <x:f>HYPERLINK("#'Dashboard'!A1","← Dashboard")</x:f>
      </x:c>
      <x:c r="B6" s="61" t="e">
        <x:f>HYPERLINK("#'Indice'!A1","Índice")</x:f>
      </x:c>
      <x:c r="C6" s="61" t="e">
        <x:f>HYPERLINK("#'Mapa_Selecao'!A1","Mapa de seleção")</x:f>
      </x:c>
    </x:row>
    <x:row r="8">
      <x:c r="A8" s="66" t="str">
        <x:v>Pacote de transferência conceitual</x:v>
      </x:c>
      <x:c r="B8" s="66" t="str"/>
      <x:c r="C8" s="66" t="str"/>
      <x:c r="D8" s="66" t="str"/>
      <x:c r="E8" s="66" t="str"/>
      <x:c r="F8" s="66" t="str"/>
    </x:row>
    <x:row r="9">
      <x:c r="A9" s="20" t="str">
        <x:v>Item de transferência</x:v>
      </x:c>
      <x:c r="B9" s="20" t="str">
        <x:v>Descrição</x:v>
      </x:c>
      <x:c r="C9" s="20" t="str">
        <x:v>Status</x:v>
      </x:c>
      <x:c r="D9" s="20" t="str">
        <x:v>Responsável</x:v>
      </x:c>
      <x:c r="E9" s="20" t="str">
        <x:v>Link / evidência</x:v>
      </x:c>
      <x:c r="F9" s="20" t="str">
        <x:v>Observação</x:v>
      </x:c>
    </x:row>
    <x:row r="10">
      <x:c r="A10" t="str">
        <x:v>Relatórios dos Gates</x:v>
      </x:c>
      <x:c r="B10" t="str"/>
      <x:c r="C10" t="str"/>
      <x:c r="D10" t="str"/>
      <x:c r="E10" t="str"/>
      <x:c r="F10" t="str"/>
    </x:row>
    <x:row r="11">
      <x:c r="A11" t="str">
        <x:v>One-Page Concept</x:v>
      </x:c>
      <x:c r="B11" t="str"/>
      <x:c r="C11" t="str"/>
      <x:c r="D11" t="str"/>
      <x:c r="E11" t="str"/>
      <x:c r="F11" t="str"/>
    </x:row>
    <x:row r="12">
      <x:c r="A12" t="str">
        <x:v>Premissas e restrições</x:v>
      </x:c>
      <x:c r="B12" t="str"/>
      <x:c r="C12" t="str"/>
      <x:c r="D12" t="str"/>
      <x:c r="E12" t="str"/>
      <x:c r="F12" t="str"/>
    </x:row>
    <x:row r="13">
      <x:c r="A13" t="str">
        <x:v>Incertezas abertas</x:v>
      </x:c>
      <x:c r="B13" t="str"/>
      <x:c r="C13" t="str"/>
      <x:c r="D13" t="str"/>
      <x:c r="E13" t="str"/>
      <x:c r="F13" t="str"/>
    </x:row>
    <x:row r="14">
      <x:c r="A14" t="str">
        <x:v>Recomendações para projeto</x:v>
      </x:c>
      <x:c r="B14" t="str"/>
      <x:c r="C14" t="str"/>
      <x:c r="D14" t="str"/>
      <x:c r="E14" t="str"/>
      <x:c r="F14" t="str"/>
    </x:row>
    <x:row r="15">
      <x:c r="A15" t="str">
        <x:v>CTQs consolidados</x:v>
      </x:c>
      <x:c r="B15" t="str"/>
      <x:c r="C15" t="str"/>
      <x:c r="D15" t="str"/>
      <x:c r="E15" t="str"/>
      <x:c r="F15" t="str"/>
    </x:row>
    <x:row r="16">
      <x:c r="A16" t="str">
        <x:v>Claims pretendidos</x:v>
      </x:c>
      <x:c r="B16" t="str"/>
      <x:c r="C16" t="str"/>
      <x:c r="D16" t="str"/>
      <x:c r="E16" t="str"/>
      <x:c r="F16" t="str"/>
    </x:row>
    <x:row r="17">
      <x:c r="A17" t="str">
        <x:v>Matrizes Go/No-Go</x:v>
      </x:c>
      <x:c r="B17" t="str"/>
      <x:c r="C17" t="str"/>
      <x:c r="D17" t="str"/>
      <x:c r="E17" t="str"/>
      <x:c r="F17" t="str"/>
    </x:row>
  </x:sheetData>
  <x:mergeCells>
    <x:mergeCell ref="A1:H1"/>
    <x:mergeCell ref="A2:H2"/>
    <x:mergeCell ref="A8:F8"/>
  </x:mergeCells>
  <x:dataValidations count="2">
    <x:dataValidation type="list" sqref="H5">
      <x:formula1>"Não iniciado,Em preenchimento,Em revisão,Concluído"</x:formula1>
    </x:dataValidation>
    <x:dataValidation type="list" sqref="C10:C17">
      <x:formula1>"Pendente,Parcial,Concluído,N/A"</x:formula1>
    </x:dataValidation>
  </x:dataValidations>
  <x:pageMargins left="0.7" right="0.7" top="0.75" bottom="0.75" header="0.3" footer="0.3"/>
</x:worksheet>
</file>

<file path=xl/worksheets/sheet89.xml><?xml version="1.0" encoding="utf-8"?>
<x:worksheet xmlns:x="http://schemas.openxmlformats.org/spreadsheetml/2006/main">
  <x:sheetFormatPr defaultRowHeight="15"/>
  <x:cols>
    <x:col min="1" max="1" width="48" hidden="0" customWidth="1"/>
    <x:col min="2" max="2" width="16" hidden="0" customWidth="1"/>
    <x:col min="3" max="3" width="10" hidden="0" customWidth="1"/>
    <x:col min="4" max="4" width="14" hidden="0" customWidth="1"/>
    <x:col min="5" max="5" width="56" hidden="0" customWidth="1"/>
    <x:col min="6" max="6" width="22" hidden="0" customWidth="1"/>
    <x:col min="7" max="7" width="22" hidden="0" customWidth="1"/>
    <x:col min="8" max="8" width="22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</x:cols>
  <x:sheetData>
    <x:row r="1">
      <x:c r="A1" s="4" t="str">
        <x:v>Matriz Go/No-Go — Gate 5</x:v>
      </x:c>
      <x:c r="B1" s="4"/>
      <x:c r="C1" s="4"/>
      <x:c r="D1" s="4"/>
      <x:c r="E1" s="4"/>
      <x:c r="F1" s="4"/>
      <x:c r="G1" s="4"/>
      <x:c r="H1" s="4"/>
    </x:row>
    <x:row r="2">
      <x:c r="A2" s="11" t="str">
        <x:v>Ferramenta do ciclo de idealização até conceito aprovado. Preencha somente quando aplicável ao produto.</x:v>
      </x:c>
      <x:c r="B2" s="11"/>
      <x:c r="C2" s="11"/>
      <x:c r="D2" s="11"/>
      <x:c r="E2" s="11"/>
      <x:c r="F2" s="11"/>
      <x:c r="G2" s="11"/>
      <x:c r="H2" s="11"/>
    </x:row>
    <x:row r="3">
      <x:c r="A3" s="58" t="str">
        <x:v>Código</x:v>
      </x:c>
      <x:c r="B3" s="32" t="str">
        <x:v>G5_GONOGO</x:v>
      </x:c>
      <x:c r="C3" s="32" t="str"/>
      <x:c r="D3" s="58" t="str">
        <x:v>Gate</x:v>
      </x:c>
      <x:c r="E3" s="32" t="str">
        <x:v>Gate 5 — Conceito Final Aprovado</x:v>
      </x:c>
      <x:c r="F3" s="32" t="str"/>
      <x:c r="G3" s="58" t="str">
        <x:v>Tipo</x:v>
      </x:c>
      <x:c r="H3" s="32" t="str">
        <x:v>Decisão</x:v>
      </x:c>
    </x:row>
    <x:row r="4">
      <x:c r="A4" s="58" t="str">
        <x:v>Propósito</x:v>
      </x:c>
      <x:c r="B4" s="32" t="str">
        <x:v>Aprovar conceito final</x:v>
      </x:c>
      <x:c r="C4" s="32" t="str"/>
      <x:c r="D4" s="58" t="str">
        <x:v>Quando usar</x:v>
      </x:c>
      <x:c r="E4" s="32" t="str">
        <x:v>Conforme pacote inteligente / Mapa_Selecao</x:v>
      </x:c>
      <x:c r="F4" s="32" t="str"/>
      <x:c r="G4" s="58" t="str">
        <x:v>Observações</x:v>
      </x:c>
      <x:c r="H4" s="32" t="str">
        <x:v>Não substitui projeto detalhado; registra hipóteses, alertas e incertezas.</x:v>
      </x:c>
    </x:row>
    <x:row r="5">
      <x:c r="A5" s="58" t="str">
        <x:v>Produto</x:v>
      </x:c>
      <x:c r="B5" s="32" t="str">
        <x:f>IF(Dashboard!B4="","",Dashboard!B4)</x:f>
      </x:c>
      <x:c r="C5" s="32" t="str"/>
      <x:c r="D5" s="58" t="str">
        <x:v>Responsável</x:v>
      </x:c>
      <x:c r="E5" s="32" t="str">
        <x:f>IF(Dashboard!B6="","",Dashboard!B6)</x:f>
      </x:c>
      <x:c r="F5" s="32" t="str"/>
      <x:c r="G5" s="58" t="str">
        <x:v>Status</x:v>
      </x:c>
      <x:c r="H5" s="32" t="str"/>
    </x:row>
    <x:row r="6">
      <x:c r="A6" s="61" t="e">
        <x:f>HYPERLINK("#'Dashboard'!A1","← Dashboard")</x:f>
      </x:c>
      <x:c r="B6" s="61" t="e">
        <x:f>HYPERLINK("#'Indice'!A1","Índice")</x:f>
      </x:c>
      <x:c r="C6" s="61" t="e">
        <x:f>HYPERLINK("#'Mapa_Selecao'!A1","Mapa de seleção")</x:f>
      </x:c>
    </x:row>
    <x:row r="8">
      <x:c r="A8" s="66" t="str">
        <x:v>Matriz Go/No-Go — Gate 5</x:v>
      </x:c>
      <x:c r="B8" s="66" t="str"/>
      <x:c r="C8" s="66" t="str"/>
      <x:c r="D8" s="66" t="str"/>
      <x:c r="E8" s="66" t="str"/>
    </x:row>
    <x:row r="9">
      <x:c r="A9" s="20" t="str">
        <x:v>Critério</x:v>
      </x:c>
      <x:c r="B9" s="20" t="str">
        <x:v>Resposta</x:v>
      </x:c>
      <x:c r="C9" s="20" t="str">
        <x:v>Peso</x:v>
      </x:c>
      <x:c r="D9" s="20" t="str">
        <x:v>Pontuação</x:v>
      </x:c>
      <x:c r="E9" s="20" t="str">
        <x:v>Evidência / observação</x:v>
      </x:c>
    </x:row>
    <x:row r="10">
      <x:c r="A10" t="str">
        <x:v>Conceito final claramente descrito</x:v>
      </x:c>
      <x:c r="B10" t="str"/>
      <x:c r="C10" t="n">
        <x:v>1</x:v>
      </x:c>
      <x:c r="D10" t="n">
        <x:f>IF(B10="Sim",1,IF(B10="Parcial",0.5,IF(B10="Não",0,"")))*C10</x:f>
        <x:v>0</x:v>
      </x:c>
      <x:c r="E10" t="str"/>
    </x:row>
    <x:row r="11">
      <x:c r="A11" t="str">
        <x:v>Uso pretendido preliminar definido</x:v>
      </x:c>
      <x:c r="B11" t="str"/>
      <x:c r="C11" t="n">
        <x:v>1</x:v>
      </x:c>
      <x:c r="D11" t="n">
        <x:f>IF(B11="Sim",1,IF(B11="Parcial",0.5,IF(B11="Não",0,"")))*C11</x:f>
        <x:v>0</x:v>
      </x:c>
      <x:c r="E11" t="str"/>
    </x:row>
    <x:row r="12">
      <x:c r="A12" t="str">
        <x:v>Requisitos conceituais consolidados</x:v>
      </x:c>
      <x:c r="B12" t="str"/>
      <x:c r="C12" t="n">
        <x:v>1</x:v>
      </x:c>
      <x:c r="D12" t="n">
        <x:f>IF(B12="Sim",1,IF(B12="Parcial",0.5,IF(B12="Não",0,"")))*C12</x:f>
        <x:v>0</x:v>
      </x:c>
      <x:c r="E12" t="str"/>
    </x:row>
    <x:row r="13">
      <x:c r="A13" t="str">
        <x:v>Premissas e restrições registradas</x:v>
      </x:c>
      <x:c r="B13" t="str"/>
      <x:c r="C13" t="n">
        <x:v>1</x:v>
      </x:c>
      <x:c r="D13" t="n">
        <x:f>IF(B13="Sim",1,IF(B13="Parcial",0.5,IF(B13="Não",0,"")))*C13</x:f>
        <x:v>0</x:v>
      </x:c>
      <x:c r="E13" t="str"/>
    </x:row>
    <x:row r="14">
      <x:c r="A14" t="str">
        <x:v>Incertezas para projeto listadas</x:v>
      </x:c>
      <x:c r="B14" t="str"/>
      <x:c r="C14" t="n">
        <x:v>1</x:v>
      </x:c>
      <x:c r="D14" t="n">
        <x:f>IF(B14="Sim",1,IF(B14="Parcial",0.5,IF(B14="Não",0,"")))*C14</x:f>
        <x:v>0</x:v>
      </x:c>
      <x:c r="E14" t="str"/>
    </x:row>
    <x:row r="15">
      <x:c r="A15" t="str">
        <x:v>Recomendações para próxima fase claras</x:v>
      </x:c>
      <x:c r="B15" t="str"/>
      <x:c r="C15" t="n">
        <x:v>1</x:v>
      </x:c>
      <x:c r="D15" t="n">
        <x:f>IF(B15="Sim",1,IF(B15="Parcial",0.5,IF(B15="Não",0,"")))*C15</x:f>
        <x:v>0</x:v>
      </x:c>
      <x:c r="E15" t="str"/>
    </x:row>
    <x:row r="16">
      <x:c r="A16" t="str">
        <x:v>Pacote de transferência completo</x:v>
      </x:c>
      <x:c r="B16" t="str"/>
      <x:c r="C16" t="n">
        <x:v>1</x:v>
      </x:c>
      <x:c r="D16" t="n">
        <x:f>IF(B16="Sim",1,IF(B16="Parcial",0.5,IF(B16="Não",0,"")))*C16</x:f>
        <x:v>0</x:v>
      </x:c>
      <x:c r="E16" t="str"/>
    </x:row>
    <x:row r="18">
      <x:c r="A18" s="71" t="str">
        <x:v>Resultado ponderado</x:v>
      </x:c>
      <x:c r="B18" s="71" t="str"/>
      <x:c r="C18" s="71" t="str"/>
      <x:c r="D18" s="74" t="n">
        <x:f>IFERROR(SUM(D10:D16)/SUM(C10:C16),0)</x:f>
        <x:v>0</x:v>
      </x:c>
      <x:c r="E18" s="71" t="str"/>
    </x:row>
    <x:row r="19">
      <x:c r="A19" s="71" t="str">
        <x:v>Decisão sugerida</x:v>
      </x:c>
      <x:c r="B19" s="71" t="str"/>
      <x:c r="C19" s="71" t="str"/>
      <x:c r="D19" s="71" t="str">
        <x:f>IF(D18&gt;=0.75,"Go",IF(D18&gt;=0.55,"Revisar",IF(D18&gt;=0.4,"Pausar","No-Go")))</x:f>
        <x:v>No-Go</x:v>
      </x:c>
      <x:c r="E19" s="71" t="str"/>
    </x:row>
  </x:sheetData>
  <x:mergeCells>
    <x:mergeCell ref="A1:H1"/>
    <x:mergeCell ref="A2:H2"/>
    <x:mergeCell ref="A8:E8"/>
  </x:mergeCells>
  <x:dataValidations count="2">
    <x:dataValidation type="list" sqref="H5">
      <x:formula1>"Não iniciado,Em preenchimento,Em revisão,Concluído"</x:formula1>
    </x:dataValidation>
    <x:dataValidation type="list" sqref="B10:B16">
      <x:formula1>"Sim,Parcial,Não,N/A"</x:formula1>
    </x:dataValidation>
  </x:dataValidations>
  <x:pageMargins left="0.7" right="0.7" top="0.75" bottom="0.75" header="0.3" footer="0.3"/>
</x:worksheet>
</file>

<file path=xl/worksheets/sheet90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60" hidden="0" customWidth="1"/>
    <x:col min="3" max="3" width="70" hidden="0" customWidth="1"/>
    <x:col min="4" max="4" width="18" hidden="0" customWidth="1"/>
    <x:col min="5" max="5" width="22" hidden="0" customWidth="1"/>
    <x:col min="6" max="6" width="22" hidden="0" customWidth="1"/>
    <x:col min="7" max="7" width="22" hidden="0" customWidth="1"/>
    <x:col min="8" max="8" width="22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</x:cols>
  <x:sheetData>
    <x:row r="1">
      <x:c r="A1" s="4" t="str">
        <x:v>Como usar a planilha-mãe inteligente</x:v>
      </x:c>
      <x:c r="B1" s="4"/>
      <x:c r="C1" s="4"/>
      <x:c r="D1" s="4"/>
      <x:c r="E1" s="4"/>
      <x:c r="F1" s="4"/>
      <x:c r="G1" s="4"/>
      <x:c r="H1" s="4"/>
    </x:row>
    <x:row r="2">
      <x:c r="A2" s="11" t="str">
        <x:v>Modelo para gerar planilhas específicas por produto a partir do pacote de ferramentas selecionado.</x:v>
      </x:c>
      <x:c r="B2" s="11"/>
      <x:c r="C2" s="11"/>
      <x:c r="D2" s="11"/>
      <x:c r="E2" s="11"/>
      <x:c r="F2" s="11"/>
      <x:c r="G2" s="11"/>
      <x:c r="H2" s="11"/>
    </x:row>
    <x:row r="3">
      <x:c r="A3" s="20" t="str">
        <x:v>Etapa</x:v>
      </x:c>
      <x:c r="B3" s="20" t="str">
        <x:v>O que fazer</x:v>
      </x:c>
      <x:c r="C3" s="20" t="str">
        <x:v>Observação</x:v>
      </x:c>
    </x:row>
    <x:row r="4">
      <x:c r="A4" s="37" t="str">
        <x:v>1</x:v>
      </x:c>
      <x:c r="B4" s="37" t="str">
        <x:v>Preencher o Dashboard com dados básicos do produto.</x:v>
      </x:c>
      <x:c r="C4" s="37" t="str">
        <x:v>Produto, rota, classe, responsável e status.</x:v>
      </x:c>
    </x:row>
    <x:row r="5">
      <x:c r="A5" s="37" t="str">
        <x:v>2</x:v>
      </x:c>
      <x:c r="B5" s="37" t="str">
        <x:v>Usar o código binário de 79 posições ou preencher o Mapa_Selecao.</x:v>
      </x:c>
      <x:c r="C5" s="37" t="str">
        <x:v>1 mantém a ferramenta; 0 remove/não gera.</x:v>
      </x:c>
    </x:row>
    <x:row r="6">
      <x:c r="A6" s="37" t="str">
        <x:v>3</x:v>
      </x:c>
      <x:c r="B6" s="37" t="str">
        <x:v>O aplicativo Streamlit pode preencher automaticamente o código binário.</x:v>
      </x:c>
      <x:c r="C6" s="37" t="str">
        <x:v>O código deve seguir a ordem do Banco_Ferramentas.</x:v>
      </x:c>
    </x:row>
    <x:row r="7">
      <x:c r="A7" s="37" t="str">
        <x:v>4</x:v>
      </x:c>
      <x:c r="B7" s="37" t="str">
        <x:v>Para gerar uma planilha final, o código Python deve copiar apenas abas com Selecionar efetivo = 1.</x:v>
      </x:c>
      <x:c r="C7" s="37" t="str">
        <x:v>Dashboard, Banco, Índice e Relatórios podem ser sempre mantidos.</x:v>
      </x:c>
    </x:row>
    <x:row r="8">
      <x:c r="A8" s="37" t="str">
        <x:v>5</x:v>
      </x:c>
      <x:c r="B8" s="37" t="str">
        <x:v>Cada ferramenta tem uma aba própria e modelos específicos.</x:v>
      </x:c>
      <x:c r="C8" s="37" t="str">
        <x:v>QFD, Pugh, Go/No-Go, CTQ e matrizes são modelos reais.</x:v>
      </x:c>
    </x:row>
    <x:row r="9">
      <x:c r="A9" s="37" t="str">
        <x:v>6</x:v>
      </x:c>
      <x:c r="B9" s="37" t="str">
        <x:v>As matrizes Go/No-Go existem como abas de decisão dos Gates.</x:v>
      </x:c>
      <x:c r="C9" s="37" t="str">
        <x:v>Elas não precisam aparecer como ferramenta no pacote visual.</x:v>
      </x:c>
    </x:row>
    <x:row r="10">
      <x:c r="A10" s="37" t="str">
        <x:v>7</x:v>
      </x:c>
      <x:c r="B10" s="37" t="str">
        <x:v>A planilha-mãe não substitui projeto detalhado.</x:v>
      </x:c>
      <x:c r="C10" s="37" t="str">
        <x:v>Ela organiza a etapa de idealização até conceito aprovado.</x:v>
      </x:c>
    </x:row>
    <x:row r="20">
      <x:c r="A20" t="str">
        <x:v>Cronograma</x:v>
      </x:c>
      <x:c r="B20" t="str">
        <x:v>A aba 02_Cronograma distribui automaticamente datas entre início/fim do projeto conforme Gate e ferramentas selecionadas.</x:v>
      </x:c>
    </x:row>
  </x:sheetData>
  <x:mergeCells>
    <x:mergeCell ref="A1:H1"/>
    <x:mergeCell ref="A2:H2"/>
  </x:mergeCells>
  <x:pageMargins left="0.7" right="0.7" top="0.75" bottom="0.75" header="0.3" footer="0.3"/>
</x:worksheet>
</file>

<file path=xl/worksheets/sheet91.xml><?xml version="1.0" encoding="utf-8"?>
<x:worksheet xmlns:x="http://schemas.openxmlformats.org/spreadsheetml/2006/main">
  <x:sheetFormatPr defaultRowHeight="15"/>
  <x:cols>
    <x:col min="1" max="1" width="11" hidden="0" customWidth="1"/>
    <x:col min="2" max="2" width="18" hidden="0" customWidth="1"/>
    <x:col min="3" max="3" width="28" hidden="0" customWidth="1"/>
    <x:col min="4" max="4" width="36" hidden="0" customWidth="1"/>
    <x:col min="5" max="5" width="12" hidden="0" customWidth="1"/>
    <x:col min="6" max="6" width="14" hidden="0" customWidth="1"/>
    <x:col min="7" max="7" width="14" hidden="0" customWidth="1"/>
    <x:col min="8" max="8" width="10" hidden="0" customWidth="1"/>
    <x:col min="9" max="9" width="18" hidden="0" customWidth="1"/>
    <x:col min="10" max="10" width="16" hidden="0" customWidth="1"/>
    <x:col min="11" max="11" width="30" hidden="0" customWidth="1"/>
    <x:col min="12" max="12" width="9" hidden="0" customWidth="1"/>
    <x:col min="13" max="13" width="9" hidden="0" customWidth="1"/>
    <x:col min="14" max="14" width="5" hidden="0" customWidth="1"/>
    <x:col min="15" max="15" width="5" hidden="0" customWidth="1"/>
    <x:col min="16" max="16" width="5" hidden="0" customWidth="1"/>
    <x:col min="17" max="17" width="5" hidden="0" customWidth="1"/>
    <x:col min="18" max="18" width="5" hidden="0" customWidth="1"/>
    <x:col min="19" max="19" width="5" hidden="0" customWidth="1"/>
    <x:col min="20" max="20" width="5" hidden="0" customWidth="1"/>
    <x:col min="21" max="21" width="5" hidden="0" customWidth="1"/>
    <x:col min="22" max="22" width="5" hidden="0" customWidth="1"/>
    <x:col min="23" max="23" width="5" hidden="0" customWidth="1"/>
    <x:col min="24" max="24" width="5" hidden="0" customWidth="1"/>
    <x:col min="25" max="25" width="5" hidden="0" customWidth="1"/>
  </x:cols>
  <x:sheetData>
    <x:row r="1" ht="28" customHeight="1">
      <x:c r="A1" s="113" t="str">
        <x:v>Cronograma do Projeto — Distribuição Inteligente por Gate e Ferramenta</x:v>
      </x:c>
      <x:c r="B1" s="113"/>
      <x:c r="C1" s="113"/>
      <x:c r="D1" s="113"/>
      <x:c r="E1" s="113"/>
      <x:c r="F1" s="113"/>
      <x:c r="G1" s="113"/>
      <x:c r="H1" s="113"/>
      <x:c r="I1" s="113"/>
      <x:c r="J1" s="113"/>
      <x:c r="K1" s="113"/>
      <x:c r="L1" s="113"/>
      <x:c r="M1" s="113"/>
      <x:c r="N1" s="113"/>
      <x:c r="O1" s="113"/>
      <x:c r="P1" s="113"/>
      <x:c r="Q1" s="113"/>
      <x:c r="R1" s="113"/>
      <x:c r="S1" s="113"/>
      <x:c r="T1" s="113"/>
      <x:c r="U1" s="113"/>
      <x:c r="V1" s="113"/>
      <x:c r="W1" s="113"/>
      <x:c r="X1" s="113"/>
      <x:c r="Y1" s="113"/>
    </x:row>
    <x:row r="2" ht="36" customHeight="1">
      <x:c r="A2" s="117" t="str">
        <x:v>Preencha nome, produto, data de início e data final. As datas das ferramentas são distribuídas automaticamente por Gate e pela ordem das ferramentas selecionadas no Mapa_Selecao.</x:v>
      </x:c>
      <x:c r="B2" s="117"/>
      <x:c r="C2" s="117"/>
      <x:c r="D2" s="117"/>
      <x:c r="E2" s="117"/>
      <x:c r="F2" s="117"/>
      <x:c r="G2" s="117"/>
      <x:c r="H2" s="117"/>
      <x:c r="I2" s="117"/>
      <x:c r="J2" s="117"/>
      <x:c r="K2" s="117"/>
      <x:c r="L2" s="117"/>
      <x:c r="M2" s="117"/>
      <x:c r="N2" s="117"/>
      <x:c r="O2" s="117"/>
      <x:c r="P2" s="117"/>
      <x:c r="Q2" s="117"/>
      <x:c r="R2" s="117"/>
      <x:c r="S2" s="117"/>
      <x:c r="T2" s="117"/>
      <x:c r="U2" s="117"/>
      <x:c r="V2" s="117"/>
      <x:c r="W2" s="117"/>
      <x:c r="X2" s="117"/>
      <x:c r="Y2" s="117"/>
    </x:row>
    <x:row r="3">
      <x:c r="A3" s="118"/>
      <x:c r="B3" s="118"/>
      <x:c r="C3" s="118"/>
      <x:c r="D3" s="118"/>
      <x:c r="E3" s="118"/>
      <x:c r="F3" s="118"/>
      <x:c r="G3" s="118"/>
      <x:c r="H3" s="118"/>
      <x:c r="I3" s="118"/>
      <x:c r="J3" s="118"/>
      <x:c r="K3" s="118"/>
      <x:c r="L3" s="118"/>
      <x:c r="M3" s="118"/>
      <x:c r="N3" s="118"/>
      <x:c r="O3" s="118"/>
      <x:c r="P3" s="118"/>
      <x:c r="Q3" s="118"/>
      <x:c r="R3" s="118"/>
      <x:c r="S3" s="118"/>
      <x:c r="T3" s="118"/>
      <x:c r="U3" s="118"/>
      <x:c r="V3" s="118"/>
      <x:c r="W3" s="118"/>
      <x:c r="X3" s="118"/>
      <x:c r="Y3" s="118"/>
    </x:row>
    <x:row r="4">
      <x:c r="A4" s="119" t="str">
        <x:v>Nome do cronograma</x:v>
      </x:c>
      <x:c r="B4" s="120" t="str">
        <x:v>Cronograma do Projeto</x:v>
      </x:c>
      <x:c r="C4" s="118"/>
      <x:c r="D4" s="119" t="str">
        <x:v>Critério</x:v>
      </x:c>
      <x:c r="E4" s="121" t="str">
        <x:v>Valor</x:v>
      </x:c>
      <x:c r="F4" s="121" t="str">
        <x:v>Observação</x:v>
      </x:c>
      <x:c r="G4" s="121"/>
      <x:c r="H4" s="118"/>
      <x:c r="I4" s="118"/>
      <x:c r="J4" s="118"/>
      <x:c r="K4" s="118"/>
      <x:c r="L4" s="118"/>
      <x:c r="M4" s="118"/>
      <x:c r="N4" s="118"/>
      <x:c r="O4" s="118"/>
      <x:c r="P4" s="118"/>
      <x:c r="Q4" s="118"/>
      <x:c r="R4" s="118"/>
      <x:c r="S4" s="118"/>
      <x:c r="T4" s="118"/>
      <x:c r="U4" s="118"/>
      <x:c r="V4" s="118"/>
      <x:c r="W4" s="118"/>
      <x:c r="X4" s="118"/>
      <x:c r="Y4" s="118"/>
    </x:row>
    <x:row r="5">
      <x:c r="A5" s="119" t="str">
        <x:v>Nome base do produto</x:v>
      </x:c>
      <x:c r="B5" s="120" t="n">
        <x:f>Dashboard!B4</x:f>
        <x:v>0</x:v>
      </x:c>
      <x:c r="C5" s="118"/>
      <x:c r="D5" s="119" t="str">
        <x:v>Modo de distribuição</x:v>
      </x:c>
      <x:c r="E5" s="121" t="str">
        <x:v>Por Gate + sequência</x:v>
      </x:c>
      <x:c r="F5" s="121" t="str">
        <x:v>Distribui proporcionalmente ao peso de cada Gate.</x:v>
      </x:c>
      <x:c r="G5" s="121"/>
      <x:c r="H5" s="118"/>
      <x:c r="I5" s="118"/>
      <x:c r="J5" s="118"/>
      <x:c r="K5" s="118"/>
      <x:c r="L5" s="118"/>
      <x:c r="M5" s="118"/>
      <x:c r="N5" s="118"/>
      <x:c r="O5" s="118"/>
      <x:c r="P5" s="118"/>
      <x:c r="Q5" s="118"/>
      <x:c r="R5" s="118"/>
      <x:c r="S5" s="118"/>
      <x:c r="T5" s="118"/>
      <x:c r="U5" s="118"/>
      <x:c r="V5" s="118"/>
      <x:c r="W5" s="118"/>
      <x:c r="X5" s="118"/>
      <x:c r="Y5" s="118"/>
    </x:row>
    <x:row r="6">
      <x:c r="A6" s="119" t="str">
        <x:v>Data de início</x:v>
      </x:c>
      <x:c r="B6" s="122" t="n">
        <x:v>46145.523127326385</x:v>
      </x:c>
      <x:c r="C6" s="118"/>
      <x:c r="D6" s="119" t="str">
        <x:v>Ajuste manual</x:v>
      </x:c>
      <x:c r="E6" s="121" t="str">
        <x:v>Permitido</x:v>
      </x:c>
      <x:c r="F6" s="121" t="str">
        <x:v>Edite Início/Final se necessário após gerar a planilha.</x:v>
      </x:c>
      <x:c r="G6" s="121"/>
      <x:c r="H6" s="118"/>
      <x:c r="I6" s="118"/>
      <x:c r="J6" s="118"/>
      <x:c r="K6" s="118"/>
      <x:c r="L6" s="118"/>
      <x:c r="M6" s="118"/>
      <x:c r="N6" s="118"/>
      <x:c r="O6" s="118"/>
      <x:c r="P6" s="118"/>
      <x:c r="Q6" s="118"/>
      <x:c r="R6" s="118"/>
      <x:c r="S6" s="118"/>
      <x:c r="T6" s="118"/>
      <x:c r="U6" s="118"/>
      <x:c r="V6" s="118"/>
      <x:c r="W6" s="118"/>
      <x:c r="X6" s="118"/>
      <x:c r="Y6" s="118"/>
    </x:row>
    <x:row r="7">
      <x:c r="A7" s="119" t="str">
        <x:v>Data final</x:v>
      </x:c>
      <x:c r="B7" s="122" t="n">
        <x:v>46235.523127326385</x:v>
      </x:c>
      <x:c r="C7" s="118"/>
      <x:c r="D7" s="119" t="str">
        <x:v>Status padrão</x:v>
      </x:c>
      <x:c r="E7" s="121" t="str">
        <x:v>Não iniciado</x:v>
      </x:c>
      <x:c r="F7" s="121" t="str">
        <x:v>Atualize conforme execução.</x:v>
      </x:c>
      <x:c r="G7" s="121"/>
      <x:c r="H7" s="118"/>
      <x:c r="I7" s="118"/>
      <x:c r="J7" s="118"/>
      <x:c r="K7" s="118"/>
      <x:c r="L7" s="118"/>
      <x:c r="M7" s="118"/>
      <x:c r="N7" s="118"/>
      <x:c r="O7" s="118"/>
      <x:c r="P7" s="118"/>
      <x:c r="Q7" s="118"/>
      <x:c r="R7" s="118"/>
      <x:c r="S7" s="118"/>
      <x:c r="T7" s="118"/>
      <x:c r="U7" s="118"/>
      <x:c r="V7" s="118"/>
      <x:c r="W7" s="118"/>
      <x:c r="X7" s="118"/>
      <x:c r="Y7" s="118"/>
    </x:row>
    <x:row r="8">
      <x:c r="A8" s="119" t="str">
        <x:v>Duração total (dias)</x:v>
      </x:c>
      <x:c r="B8" s="120" t="n">
        <x:f>MAX(0,B7-B6+1)</x:f>
        <x:v>91</x:v>
      </x:c>
      <x:c r="C8" s="118"/>
      <x:c r="D8" s="119" t="str">
        <x:v>Responsável padrão</x:v>
      </x:c>
      <x:c r="E8" s="121" t="str"/>
      <x:c r="F8" s="121" t="str">
        <x:v>Pode ser preenchido por ferramenta.</x:v>
      </x:c>
      <x:c r="G8" s="121"/>
      <x:c r="H8" s="118"/>
      <x:c r="I8" s="118"/>
      <x:c r="J8" s="118"/>
      <x:c r="K8" s="118"/>
      <x:c r="L8" s="118"/>
      <x:c r="M8" s="118"/>
      <x:c r="N8" s="118"/>
      <x:c r="O8" s="118"/>
      <x:c r="P8" s="118"/>
      <x:c r="Q8" s="118"/>
      <x:c r="R8" s="118"/>
      <x:c r="S8" s="118"/>
      <x:c r="T8" s="118"/>
      <x:c r="U8" s="118"/>
      <x:c r="V8" s="118"/>
      <x:c r="W8" s="118"/>
      <x:c r="X8" s="118"/>
      <x:c r="Y8" s="118"/>
    </x:row>
    <x:row r="9">
      <x:c r="A9" s="119" t="str">
        <x:v>Ferramentas selecionadas</x:v>
      </x:c>
      <x:c r="B9" s="120" t="n">
        <x:f>COUNTIF(Mapa_Selecao!G4:G82,1)</x:f>
        <x:v>0</x:v>
      </x:c>
      <x:c r="C9" s="118"/>
      <x:c r="D9" s="119" t="str">
        <x:v>Atualização</x:v>
      </x:c>
      <x:c r="E9" s="123" t="n">
        <x:v>46145.52312828704</x:v>
      </x:c>
      <x:c r="F9" s="121" t="str">
        <x:v>Gerado automaticamente no modelo-mãe.</x:v>
      </x:c>
      <x:c r="G9" s="121"/>
      <x:c r="H9" s="118"/>
      <x:c r="I9" s="118"/>
      <x:c r="J9" s="118"/>
      <x:c r="K9" s="118"/>
      <x:c r="L9" s="118"/>
      <x:c r="M9" s="118"/>
      <x:c r="N9" s="118"/>
      <x:c r="O9" s="118"/>
      <x:c r="P9" s="118"/>
      <x:c r="Q9" s="118"/>
      <x:c r="R9" s="118"/>
      <x:c r="S9" s="118"/>
      <x:c r="T9" s="118"/>
      <x:c r="U9" s="118"/>
      <x:c r="V9" s="118"/>
      <x:c r="W9" s="118"/>
      <x:c r="X9" s="118"/>
      <x:c r="Y9" s="118"/>
    </x:row>
    <x:row r="10">
      <x:c r="A10" s="119" t="str">
        <x:v>Código binário</x:v>
      </x:c>
      <x:c r="B10" s="120" t="str">
        <x:f>Dashboard!B13</x:f>
        <x:v>0000000000000000000000000000000000000000000000000000000000000000000000000000000</x:v>
      </x:c>
      <x:c r="C10" s="118"/>
      <x:c r="D10" s="119" t="str">
        <x:v>Uso no app</x:v>
      </x:c>
      <x:c r="E10" s="121" t="str">
        <x:v>Automático</x:v>
      </x:c>
      <x:c r="F10" s="121" t="str">
        <x:v>O Streamlit poderá preencher datas e ferramentas selecionadas.</x:v>
      </x:c>
      <x:c r="G10" s="121"/>
      <x:c r="H10" s="118"/>
      <x:c r="I10" s="118"/>
      <x:c r="J10" s="118"/>
      <x:c r="K10" s="118"/>
      <x:c r="L10" s="118"/>
      <x:c r="M10" s="118"/>
      <x:c r="N10" s="118"/>
      <x:c r="O10" s="118"/>
      <x:c r="P10" s="118"/>
      <x:c r="Q10" s="118"/>
      <x:c r="R10" s="118"/>
      <x:c r="S10" s="118"/>
      <x:c r="T10" s="118"/>
      <x:c r="U10" s="118"/>
      <x:c r="V10" s="118"/>
      <x:c r="W10" s="118"/>
      <x:c r="X10" s="118"/>
      <x:c r="Y10" s="118"/>
    </x:row>
    <x:row r="11">
      <x:c r="A11" s="118"/>
      <x:c r="B11" s="118"/>
      <x:c r="C11" s="118"/>
      <x:c r="D11" s="118"/>
      <x:c r="E11" s="118"/>
      <x:c r="F11" s="118"/>
      <x:c r="G11" s="118"/>
      <x:c r="H11" s="118"/>
      <x:c r="I11" s="118"/>
      <x:c r="J11" s="118"/>
      <x:c r="K11" s="118"/>
      <x:c r="L11" s="118"/>
      <x:c r="M11" s="118"/>
      <x:c r="N11" s="118"/>
      <x:c r="O11" s="118"/>
      <x:c r="P11" s="118"/>
      <x:c r="Q11" s="118"/>
      <x:c r="R11" s="118"/>
      <x:c r="S11" s="118"/>
      <x:c r="T11" s="118"/>
      <x:c r="U11" s="118"/>
      <x:c r="V11" s="118"/>
      <x:c r="W11" s="118"/>
      <x:c r="X11" s="118"/>
      <x:c r="Y11" s="118"/>
    </x:row>
    <x:row r="12">
      <x:c r="A12" s="124" t="str">
        <x:v>Resumo do cronograma por Gate</x:v>
      </x:c>
      <x:c r="B12" s="124"/>
      <x:c r="C12" s="124"/>
      <x:c r="D12" s="124"/>
      <x:c r="E12" s="124"/>
      <x:c r="F12" s="124"/>
      <x:c r="G12" s="118"/>
      <x:c r="H12" s="118"/>
      <x:c r="I12" s="118"/>
      <x:c r="J12" s="118"/>
      <x:c r="K12" s="118"/>
      <x:c r="L12" s="118"/>
      <x:c r="M12" s="118"/>
      <x:c r="N12" s="118"/>
      <x:c r="O12" s="118"/>
      <x:c r="P12" s="118"/>
      <x:c r="Q12" s="118"/>
      <x:c r="R12" s="118"/>
      <x:c r="S12" s="118"/>
      <x:c r="T12" s="118"/>
      <x:c r="U12" s="118"/>
      <x:c r="V12" s="118"/>
      <x:c r="W12" s="118"/>
      <x:c r="X12" s="118"/>
      <x:c r="Y12" s="118"/>
    </x:row>
    <x:row r="13">
      <x:c r="A13" s="125" t="str">
        <x:v>Gate</x:v>
      </x:c>
      <x:c r="B13" s="125" t="str">
        <x:v>Peso do prazo</x:v>
      </x:c>
      <x:c r="C13" s="125" t="str">
        <x:v>Ferramentas selecionadas</x:v>
      </x:c>
      <x:c r="D13" s="125" t="str">
        <x:v>Início</x:v>
      </x:c>
      <x:c r="E13" s="125" t="str">
        <x:v>Final</x:v>
      </x:c>
      <x:c r="F13" s="125" t="str">
        <x:v>Dias</x:v>
      </x:c>
      <x:c r="G13" s="118"/>
      <x:c r="H13" s="118"/>
      <x:c r="I13" s="118"/>
      <x:c r="J13" s="118"/>
      <x:c r="K13" s="118"/>
      <x:c r="L13" s="118"/>
      <x:c r="M13" s="118"/>
      <x:c r="N13" s="118"/>
      <x:c r="O13" s="118"/>
      <x:c r="P13" s="118"/>
      <x:c r="Q13" s="118"/>
      <x:c r="R13" s="118"/>
      <x:c r="S13" s="118"/>
      <x:c r="T13" s="118"/>
      <x:c r="U13" s="118"/>
      <x:c r="V13" s="118"/>
      <x:c r="W13" s="118"/>
      <x:c r="X13" s="118"/>
      <x:c r="Y13" s="118"/>
    </x:row>
    <x:row r="14">
      <x:c r="A14" s="118" t="str">
        <x:v>Gate 1 — Oportunidade e Necessidade</x:v>
      </x:c>
      <x:c r="B14" s="126" t="n">
        <x:v>0.15</x:v>
      </x:c>
      <x:c r="C14" s="118" t="n">
        <x:f>COUNTIFS($C$22:$C$100,A14,$E$22:$E$100,1)</x:f>
        <x:v>0</x:v>
      </x:c>
      <x:c r="D14" s="127" t="n">
        <x:f>$B$6</x:f>
        <x:v>46145.523127326385</x:v>
      </x:c>
      <x:c r="E14" s="127" t="n">
        <x:f>MIN($B$7,D14+ROUND(($B$7-$B$6+1)*B14,0)-1)</x:f>
        <x:v>46158.523127326385</x:v>
      </x:c>
      <x:c r="F14" s="118" t="n">
        <x:f>MAX(0,E14-D14+1)</x:f>
        <x:v>14</x:v>
      </x:c>
      <x:c r="G14" s="118"/>
      <x:c r="H14" s="118"/>
      <x:c r="I14" s="118"/>
      <x:c r="J14" s="118"/>
      <x:c r="K14" s="118"/>
      <x:c r="L14" s="118"/>
      <x:c r="M14" s="118"/>
      <x:c r="N14" s="118"/>
      <x:c r="O14" s="118"/>
      <x:c r="P14" s="118"/>
      <x:c r="Q14" s="118"/>
      <x:c r="R14" s="118"/>
      <x:c r="S14" s="118"/>
      <x:c r="T14" s="118"/>
      <x:c r="U14" s="118"/>
      <x:c r="V14" s="118"/>
      <x:c r="W14" s="118"/>
      <x:c r="X14" s="118"/>
      <x:c r="Y14" s="118"/>
    </x:row>
    <x:row r="15">
      <x:c r="A15" s="118" t="str">
        <x:v>Gate 2 — Estratégia e Requisitos</x:v>
      </x:c>
      <x:c r="B15" s="126" t="n">
        <x:v>0.25</x:v>
      </x:c>
      <x:c r="C15" s="118" t="n">
        <x:f>COUNTIFS($C$22:$C$100,A15,$E$22:$E$100,1)</x:f>
        <x:v>0</x:v>
      </x:c>
      <x:c r="D15" s="127" t="n">
        <x:f>E14+1</x:f>
        <x:v>46159.523127326385</x:v>
      </x:c>
      <x:c r="E15" s="127" t="n">
        <x:f>MIN($B$7,D15+ROUND(($B$7-$B$6+1)*B15,0)-1)</x:f>
        <x:v>46181.523127326385</x:v>
      </x:c>
      <x:c r="F15" s="118" t="n">
        <x:f>MAX(0,E15-D15+1)</x:f>
        <x:v>23</x:v>
      </x:c>
      <x:c r="G15" s="118"/>
      <x:c r="H15" s="118"/>
      <x:c r="I15" s="118"/>
      <x:c r="J15" s="118"/>
      <x:c r="K15" s="118"/>
      <x:c r="L15" s="118"/>
      <x:c r="M15" s="118"/>
      <x:c r="N15" s="118"/>
      <x:c r="O15" s="118"/>
      <x:c r="P15" s="118"/>
      <x:c r="Q15" s="118"/>
      <x:c r="R15" s="118"/>
      <x:c r="S15" s="118"/>
      <x:c r="T15" s="118"/>
      <x:c r="U15" s="118"/>
      <x:c r="V15" s="118"/>
      <x:c r="W15" s="118"/>
      <x:c r="X15" s="118"/>
      <x:c r="Y15" s="118"/>
    </x:row>
    <x:row r="16">
      <x:c r="A16" s="118" t="str">
        <x:v>Gate 3 — Geração de Alternativas</x:v>
      </x:c>
      <x:c r="B16" s="126" t="n">
        <x:v>0.25</x:v>
      </x:c>
      <x:c r="C16" s="118" t="n">
        <x:f>COUNTIFS($C$22:$C$100,A16,$E$22:$E$100,1)</x:f>
        <x:v>0</x:v>
      </x:c>
      <x:c r="D16" s="127" t="n">
        <x:f>E15+1</x:f>
        <x:v>46182.523127326385</x:v>
      </x:c>
      <x:c r="E16" s="127" t="n">
        <x:f>MIN($B$7,D16+ROUND(($B$7-$B$6+1)*B16,0)-1)</x:f>
        <x:v>46204.523127326385</x:v>
      </x:c>
      <x:c r="F16" s="118" t="n">
        <x:f>MAX(0,E16-D16+1)</x:f>
        <x:v>23</x:v>
      </x:c>
      <x:c r="G16" s="118"/>
      <x:c r="H16" s="118"/>
      <x:c r="I16" s="118"/>
      <x:c r="J16" s="118"/>
      <x:c r="K16" s="118"/>
      <x:c r="L16" s="118"/>
      <x:c r="M16" s="118"/>
      <x:c r="N16" s="118"/>
      <x:c r="O16" s="118"/>
      <x:c r="P16" s="118"/>
      <x:c r="Q16" s="118"/>
      <x:c r="R16" s="118"/>
      <x:c r="S16" s="118"/>
      <x:c r="T16" s="118"/>
      <x:c r="U16" s="118"/>
      <x:c r="V16" s="118"/>
      <x:c r="W16" s="118"/>
      <x:c r="X16" s="118"/>
      <x:c r="Y16" s="118"/>
    </x:row>
    <x:row r="17">
      <x:c r="A17" s="118" t="str">
        <x:v>Gate 4 — Seleção e Teste</x:v>
      </x:c>
      <x:c r="B17" s="126" t="n">
        <x:v>0.2</x:v>
      </x:c>
      <x:c r="C17" s="118" t="n">
        <x:f>COUNTIFS($C$22:$C$100,A17,$E$22:$E$100,1)</x:f>
        <x:v>0</x:v>
      </x:c>
      <x:c r="D17" s="127" t="n">
        <x:f>E16+1</x:f>
        <x:v>46205.523127326385</x:v>
      </x:c>
      <x:c r="E17" s="127" t="n">
        <x:f>MIN($B$7,D17+ROUND(($B$7-$B$6+1)*B17,0)-1)</x:f>
        <x:v>46222.523127326385</x:v>
      </x:c>
      <x:c r="F17" s="118" t="n">
        <x:f>MAX(0,E17-D17+1)</x:f>
        <x:v>18</x:v>
      </x:c>
      <x:c r="G17" s="118"/>
      <x:c r="H17" s="118"/>
      <x:c r="I17" s="118"/>
      <x:c r="J17" s="118"/>
      <x:c r="K17" s="118"/>
      <x:c r="L17" s="118"/>
      <x:c r="M17" s="118"/>
      <x:c r="N17" s="118"/>
      <x:c r="O17" s="118"/>
      <x:c r="P17" s="118"/>
      <x:c r="Q17" s="118"/>
      <x:c r="R17" s="118"/>
      <x:c r="S17" s="118"/>
      <x:c r="T17" s="118"/>
      <x:c r="U17" s="118"/>
      <x:c r="V17" s="118"/>
      <x:c r="W17" s="118"/>
      <x:c r="X17" s="118"/>
      <x:c r="Y17" s="118"/>
    </x:row>
    <x:row r="18">
      <x:c r="A18" s="118" t="str">
        <x:v>Gate 5 — Conceito Final Aprovado</x:v>
      </x:c>
      <x:c r="B18" s="126" t="n">
        <x:v>0.15</x:v>
      </x:c>
      <x:c r="C18" s="118" t="n">
        <x:f>COUNTIFS($C$22:$C$100,A18,$E$22:$E$100,1)</x:f>
        <x:v>0</x:v>
      </x:c>
      <x:c r="D18" s="127" t="n">
        <x:f>E17+1</x:f>
        <x:v>46223.523127326385</x:v>
      </x:c>
      <x:c r="E18" s="127" t="n">
        <x:f>$B$7</x:f>
        <x:v>46235.523127326385</x:v>
      </x:c>
      <x:c r="F18" s="118" t="n">
        <x:f>MAX(0,E18-D18+1)</x:f>
        <x:v>13</x:v>
      </x:c>
      <x:c r="G18" s="118"/>
      <x:c r="H18" s="118"/>
      <x:c r="I18" s="118"/>
      <x:c r="J18" s="118"/>
      <x:c r="K18" s="118"/>
      <x:c r="L18" s="118"/>
      <x:c r="M18" s="118"/>
      <x:c r="N18" s="118"/>
      <x:c r="O18" s="118"/>
      <x:c r="P18" s="118"/>
      <x:c r="Q18" s="118"/>
      <x:c r="R18" s="118"/>
      <x:c r="S18" s="118"/>
      <x:c r="T18" s="118"/>
      <x:c r="U18" s="118"/>
      <x:c r="V18" s="118"/>
      <x:c r="W18" s="118"/>
      <x:c r="X18" s="118"/>
      <x:c r="Y18" s="118"/>
    </x:row>
    <x:row r="19">
      <x:c r="A19" s="118"/>
      <x:c r="B19" s="118"/>
      <x:c r="C19" s="118"/>
      <x:c r="D19" s="118"/>
      <x:c r="E19" s="118"/>
      <x:c r="F19" s="118"/>
      <x:c r="G19" s="118"/>
      <x:c r="H19" s="118"/>
      <x:c r="I19" s="118"/>
      <x:c r="J19" s="118"/>
      <x:c r="K19" s="118"/>
      <x:c r="L19" s="118"/>
      <x:c r="M19" s="118"/>
      <x:c r="N19" s="124" t="str">
        <x:v>Linha do tempo visual — 12 períodos proporcionais ao prazo total</x:v>
      </x:c>
      <x:c r="O19" s="124"/>
      <x:c r="P19" s="124"/>
      <x:c r="Q19" s="124"/>
      <x:c r="R19" s="124"/>
      <x:c r="S19" s="124"/>
      <x:c r="T19" s="124"/>
      <x:c r="U19" s="124"/>
      <x:c r="V19" s="124"/>
      <x:c r="W19" s="124"/>
      <x:c r="X19" s="124"/>
      <x:c r="Y19" s="124"/>
    </x:row>
    <x:row r="20">
      <x:c r="A20" s="124" t="str">
        <x:v>Cronograma detalhado por ferramenta selecionada</x:v>
      </x:c>
      <x:c r="B20" s="124"/>
      <x:c r="C20" s="124"/>
      <x:c r="D20" s="124"/>
      <x:c r="E20" s="124"/>
      <x:c r="F20" s="124"/>
      <x:c r="G20" s="124"/>
      <x:c r="H20" s="124"/>
      <x:c r="I20" s="124"/>
      <x:c r="J20" s="124"/>
      <x:c r="K20" s="124"/>
      <x:c r="L20" s="124"/>
      <x:c r="M20" s="124"/>
      <x:c r="N20" s="128" t="n">
        <x:f>$B$6+(COLUMN()-COLUMN($N$20))*ROUNDUP(($B$7-$B$6+1)/12,0)</x:f>
        <x:v>46145.523127326385</x:v>
      </x:c>
      <x:c r="O20" s="128" t="n">
        <x:f>$B$6+(COLUMN()-COLUMN($N$20))*ROUNDUP(($B$7-$B$6+1)/12,0)</x:f>
        <x:v>46153.523127326385</x:v>
      </x:c>
      <x:c r="P20" s="128" t="n">
        <x:f>$B$6+(COLUMN()-COLUMN($N$20))*ROUNDUP(($B$7-$B$6+1)/12,0)</x:f>
        <x:v>46161.523127326385</x:v>
      </x:c>
      <x:c r="Q20" s="128" t="n">
        <x:f>$B$6+(COLUMN()-COLUMN($N$20))*ROUNDUP(($B$7-$B$6+1)/12,0)</x:f>
        <x:v>46169.523127326385</x:v>
      </x:c>
      <x:c r="R20" s="128" t="n">
        <x:f>$B$6+(COLUMN()-COLUMN($N$20))*ROUNDUP(($B$7-$B$6+1)/12,0)</x:f>
        <x:v>46177.523127326385</x:v>
      </x:c>
      <x:c r="S20" s="128" t="n">
        <x:f>$B$6+(COLUMN()-COLUMN($N$20))*ROUNDUP(($B$7-$B$6+1)/12,0)</x:f>
        <x:v>46185.523127326385</x:v>
      </x:c>
      <x:c r="T20" s="128" t="n">
        <x:f>$B$6+(COLUMN()-COLUMN($N$20))*ROUNDUP(($B$7-$B$6+1)/12,0)</x:f>
        <x:v>46193.523127326385</x:v>
      </x:c>
      <x:c r="U20" s="128" t="n">
        <x:f>$B$6+(COLUMN()-COLUMN($N$20))*ROUNDUP(($B$7-$B$6+1)/12,0)</x:f>
        <x:v>46201.523127326385</x:v>
      </x:c>
      <x:c r="V20" s="128" t="n">
        <x:f>$B$6+(COLUMN()-COLUMN($N$20))*ROUNDUP(($B$7-$B$6+1)/12,0)</x:f>
        <x:v>46209.523127326385</x:v>
      </x:c>
      <x:c r="W20" s="128" t="n">
        <x:f>$B$6+(COLUMN()-COLUMN($N$20))*ROUNDUP(($B$7-$B$6+1)/12,0)</x:f>
        <x:v>46217.523127326385</x:v>
      </x:c>
      <x:c r="X20" s="128" t="n">
        <x:f>$B$6+(COLUMN()-COLUMN($N$20))*ROUNDUP(($B$7-$B$6+1)/12,0)</x:f>
        <x:v>46225.523127326385</x:v>
      </x:c>
      <x:c r="Y20" s="128" t="n">
        <x:f>$B$6+(COLUMN()-COLUMN($N$20))*ROUNDUP(($B$7-$B$6+1)/12,0)</x:f>
        <x:v>46233.523127326385</x:v>
      </x:c>
    </x:row>
    <x:row r="21">
      <x:c r="A21" s="125" t="str">
        <x:v>Ordem</x:v>
      </x:c>
      <x:c r="B21" s="125" t="str">
        <x:v>Código</x:v>
      </x:c>
      <x:c r="C21" s="125" t="str">
        <x:v>Gate</x:v>
      </x:c>
      <x:c r="D21" s="125" t="str">
        <x:v>Ferramenta</x:v>
      </x:c>
      <x:c r="E21" s="125" t="str">
        <x:v>Selecionada</x:v>
      </x:c>
      <x:c r="F21" s="125" t="str">
        <x:v>Início previsto</x:v>
      </x:c>
      <x:c r="G21" s="125" t="str">
        <x:v>Final previsto</x:v>
      </x:c>
      <x:c r="H21" s="125" t="str">
        <x:v>Duração</x:v>
      </x:c>
      <x:c r="I21" s="125" t="str">
        <x:v>Responsável</x:v>
      </x:c>
      <x:c r="J21" s="125" t="str">
        <x:v>Status</x:v>
      </x:c>
      <x:c r="K21" s="125" t="str">
        <x:v>Observação</x:v>
      </x:c>
      <x:c r="L21" s="125" t="str">
        <x:v>Total no Gate</x:v>
      </x:c>
      <x:c r="M21" s="125" t="str">
        <x:v>Ordem no Gate</x:v>
      </x:c>
      <x:c r="N21" s="129" t="n">
        <x:f>MIN($B$7,N$20+ROUNDUP(($B$7-$B$6+1)/12,0)-1)</x:f>
        <x:v>46152.523127326385</x:v>
      </x:c>
      <x:c r="O21" s="129" t="n">
        <x:f>MIN($B$7,O$20+ROUNDUP(($B$7-$B$6+1)/12,0)-1)</x:f>
        <x:v>46160.523127326385</x:v>
      </x:c>
      <x:c r="P21" s="129" t="n">
        <x:f>MIN($B$7,P$20+ROUNDUP(($B$7-$B$6+1)/12,0)-1)</x:f>
        <x:v>46168.523127326385</x:v>
      </x:c>
      <x:c r="Q21" s="129" t="n">
        <x:f>MIN($B$7,Q$20+ROUNDUP(($B$7-$B$6+1)/12,0)-1)</x:f>
        <x:v>46176.523127326385</x:v>
      </x:c>
      <x:c r="R21" s="129" t="n">
        <x:f>MIN($B$7,R$20+ROUNDUP(($B$7-$B$6+1)/12,0)-1)</x:f>
        <x:v>46184.523127326385</x:v>
      </x:c>
      <x:c r="S21" s="129" t="n">
        <x:f>MIN($B$7,S$20+ROUNDUP(($B$7-$B$6+1)/12,0)-1)</x:f>
        <x:v>46192.523127326385</x:v>
      </x:c>
      <x:c r="T21" s="129" t="n">
        <x:f>MIN($B$7,T$20+ROUNDUP(($B$7-$B$6+1)/12,0)-1)</x:f>
        <x:v>46200.523127326385</x:v>
      </x:c>
      <x:c r="U21" s="129" t="n">
        <x:f>MIN($B$7,U$20+ROUNDUP(($B$7-$B$6+1)/12,0)-1)</x:f>
        <x:v>46208.523127326385</x:v>
      </x:c>
      <x:c r="V21" s="129" t="n">
        <x:f>MIN($B$7,V$20+ROUNDUP(($B$7-$B$6+1)/12,0)-1)</x:f>
        <x:v>46216.523127326385</x:v>
      </x:c>
      <x:c r="W21" s="129" t="n">
        <x:f>MIN($B$7,W$20+ROUNDUP(($B$7-$B$6+1)/12,0)-1)</x:f>
        <x:v>46224.523127326385</x:v>
      </x:c>
      <x:c r="X21" s="129" t="n">
        <x:f>MIN($B$7,X$20+ROUNDUP(($B$7-$B$6+1)/12,0)-1)</x:f>
        <x:v>46232.523127326385</x:v>
      </x:c>
      <x:c r="Y21" s="129" t="n">
        <x:f>MIN($B$7,Y$20+ROUNDUP(($B$7-$B$6+1)/12,0)-1)</x:f>
        <x:v>46235.523127326385</x:v>
      </x:c>
    </x:row>
    <x:row r="22">
      <x:c r="A22" s="118" t="n">
        <x:f>ROW()-21</x:f>
        <x:v>1</x:v>
      </x:c>
      <x:c r="B22" s="118" t="str">
        <x:f>Mapa_Selecao!A4</x:f>
        <x:v>G1_DECL</x:v>
      </x:c>
      <x:c r="C22" s="118" t="str">
        <x:f>Mapa_Selecao!B4</x:f>
        <x:v>Gate 1 — Oportunidade e Necessidade</x:v>
      </x:c>
      <x:c r="D22" s="118" t="str">
        <x:f>Mapa_Selecao!C4</x:f>
        <x:v>Declaração da oportunidade</x:v>
      </x:c>
      <x:c r="E22" s="118" t="n">
        <x:f>Mapa_Selecao!G4</x:f>
        <x:v>0</x:v>
      </x:c>
      <x:c r="F22" s="127" t="str">
        <x:f>IF($E22&lt;&gt;1,"",VLOOKUP($C22,$A$14:$F$18,4,FALSE)+ROUND((VLOOKUP($C22,$A$14:$F$18,5,FALSE)-VLOOKUP($C22,$A$14:$F$18,4,FALSE)+1)*($M22-1)/MAX(1,$L22),0))</x:f>
      </x:c>
      <x:c r="G22" s="127" t="str">
        <x:f>IF($E22&lt;&gt;1,"",MIN(VLOOKUP($C22,$A$14:$F$18,5,FALSE),VLOOKUP($C22,$A$14:$F$18,4,FALSE)+ROUND((VLOOKUP($C22,$A$14:$F$18,5,FALSE)-VLOOKUP($C22,$A$14:$F$18,4,FALSE)+1)*$M22/MAX(1,$L22),0)-1))</x:f>
      </x:c>
      <x:c r="H22" s="118" t="str">
        <x:f>IF($E22&lt;&gt;1,"",MAX(1,$G22-$F22+1))</x:f>
      </x:c>
      <x:c r="I22" s="118" t="str"/>
      <x:c r="J22" s="118" t="str">
        <x:v>Não iniciado</x:v>
      </x:c>
      <x:c r="K22" s="118" t="str"/>
      <x:c r="L22" s="118" t="n">
        <x:f>COUNTIFS($C$22:$C$100,$C22,$E$22:$E$100,1)</x:f>
        <x:v>0</x:v>
      </x:c>
      <x:c r="M22" s="118" t="str">
        <x:f>IF($E22=1,COUNTIFS($C$22:C22,$C22,$E$22:E22,1),"")</x:f>
      </x:c>
      <x:c r="N22" s="131" t="str">
        <x:f>IF($E22&lt;&gt;1,"",IF(AND($F22&lt;=N$21,$G22&gt;=N$20),"■",""))</x:f>
      </x:c>
      <x:c r="O22" s="131" t="str">
        <x:f>IF($E22&lt;&gt;1,"",IF(AND($F22&lt;=O$21,$G22&gt;=O$20),"■",""))</x:f>
      </x:c>
      <x:c r="P22" s="131" t="str">
        <x:f>IF($E22&lt;&gt;1,"",IF(AND($F22&lt;=P$21,$G22&gt;=P$20),"■",""))</x:f>
      </x:c>
      <x:c r="Q22" s="131" t="str">
        <x:f>IF($E22&lt;&gt;1,"",IF(AND($F22&lt;=Q$21,$G22&gt;=Q$20),"■",""))</x:f>
      </x:c>
      <x:c r="R22" s="131" t="str">
        <x:f>IF($E22&lt;&gt;1,"",IF(AND($F22&lt;=R$21,$G22&gt;=R$20),"■",""))</x:f>
      </x:c>
      <x:c r="S22" s="131" t="str">
        <x:f>IF($E22&lt;&gt;1,"",IF(AND($F22&lt;=S$21,$G22&gt;=S$20),"■",""))</x:f>
      </x:c>
      <x:c r="T22" s="131" t="str">
        <x:f>IF($E22&lt;&gt;1,"",IF(AND($F22&lt;=T$21,$G22&gt;=T$20),"■",""))</x:f>
      </x:c>
      <x:c r="U22" s="131" t="str">
        <x:f>IF($E22&lt;&gt;1,"",IF(AND($F22&lt;=U$21,$G22&gt;=U$20),"■",""))</x:f>
      </x:c>
      <x:c r="V22" s="131" t="str">
        <x:f>IF($E22&lt;&gt;1,"",IF(AND($F22&lt;=V$21,$G22&gt;=V$20),"■",""))</x:f>
      </x:c>
      <x:c r="W22" s="131" t="str">
        <x:f>IF($E22&lt;&gt;1,"",IF(AND($F22&lt;=W$21,$G22&gt;=W$20),"■",""))</x:f>
      </x:c>
      <x:c r="X22" s="131" t="str">
        <x:f>IF($E22&lt;&gt;1,"",IF(AND($F22&lt;=X$21,$G22&gt;=X$20),"■",""))</x:f>
      </x:c>
      <x:c r="Y22" s="131" t="str">
        <x:f>IF($E22&lt;&gt;1,"",IF(AND($F22&lt;=Y$21,$G22&gt;=Y$20),"■",""))</x:f>
      </x:c>
    </x:row>
    <x:row r="23">
      <x:c r="A23" s="118" t="n">
        <x:f>ROW()-21</x:f>
        <x:v>2</x:v>
      </x:c>
      <x:c r="B23" s="118" t="str">
        <x:f>Mapa_Selecao!A5</x:f>
        <x:v>G1_5W2H</x:v>
      </x:c>
      <x:c r="C23" s="118" t="str">
        <x:f>Mapa_Selecao!B5</x:f>
        <x:v>Gate 1 — Oportunidade e Necessidade</x:v>
      </x:c>
      <x:c r="D23" s="118" t="str">
        <x:f>Mapa_Selecao!C5</x:f>
        <x:v>5W2H da oportunidade</x:v>
      </x:c>
      <x:c r="E23" s="118" t="n">
        <x:f>Mapa_Selecao!G5</x:f>
        <x:v>0</x:v>
      </x:c>
      <x:c r="F23" s="127" t="str">
        <x:f>IF($E23&lt;&gt;1,"",VLOOKUP($C23,$A$14:$F$18,4,FALSE)+ROUND((VLOOKUP($C23,$A$14:$F$18,5,FALSE)-VLOOKUP($C23,$A$14:$F$18,4,FALSE)+1)*($M23-1)/MAX(1,$L23),0))</x:f>
      </x:c>
      <x:c r="G23" s="127" t="str">
        <x:f>IF($E23&lt;&gt;1,"",MIN(VLOOKUP($C23,$A$14:$F$18,5,FALSE),VLOOKUP($C23,$A$14:$F$18,4,FALSE)+ROUND((VLOOKUP($C23,$A$14:$F$18,5,FALSE)-VLOOKUP($C23,$A$14:$F$18,4,FALSE)+1)*$M23/MAX(1,$L23),0)-1))</x:f>
      </x:c>
      <x:c r="H23" s="118" t="str">
        <x:f>IF($E23&lt;&gt;1,"",MAX(1,$G23-$F23+1))</x:f>
      </x:c>
      <x:c r="I23" s="118" t="str"/>
      <x:c r="J23" s="118" t="str">
        <x:v>Não iniciado</x:v>
      </x:c>
      <x:c r="K23" s="118" t="str"/>
      <x:c r="L23" s="118" t="n">
        <x:f>COUNTIFS($C$22:$C$100,$C23,$E$22:$E$100,1)</x:f>
        <x:v>0</x:v>
      </x:c>
      <x:c r="M23" s="118" t="str">
        <x:f>IF($E23=1,COUNTIFS($C$22:C23,$C23,$E$22:E23,1),"")</x:f>
      </x:c>
      <x:c r="N23" s="131" t="str">
        <x:f>IF($E23&lt;&gt;1,"",IF(AND($F23&lt;=N$21,$G23&gt;=N$20),"■",""))</x:f>
      </x:c>
      <x:c r="O23" s="131" t="str">
        <x:f>IF($E23&lt;&gt;1,"",IF(AND($F23&lt;=O$21,$G23&gt;=O$20),"■",""))</x:f>
      </x:c>
      <x:c r="P23" s="131" t="str">
        <x:f>IF($E23&lt;&gt;1,"",IF(AND($F23&lt;=P$21,$G23&gt;=P$20),"■",""))</x:f>
      </x:c>
      <x:c r="Q23" s="131" t="str">
        <x:f>IF($E23&lt;&gt;1,"",IF(AND($F23&lt;=Q$21,$G23&gt;=Q$20),"■",""))</x:f>
      </x:c>
      <x:c r="R23" s="131" t="str">
        <x:f>IF($E23&lt;&gt;1,"",IF(AND($F23&lt;=R$21,$G23&gt;=R$20),"■",""))</x:f>
      </x:c>
      <x:c r="S23" s="131" t="str">
        <x:f>IF($E23&lt;&gt;1,"",IF(AND($F23&lt;=S$21,$G23&gt;=S$20),"■",""))</x:f>
      </x:c>
      <x:c r="T23" s="131" t="str">
        <x:f>IF($E23&lt;&gt;1,"",IF(AND($F23&lt;=T$21,$G23&gt;=T$20),"■",""))</x:f>
      </x:c>
      <x:c r="U23" s="131" t="str">
        <x:f>IF($E23&lt;&gt;1,"",IF(AND($F23&lt;=U$21,$G23&gt;=U$20),"■",""))</x:f>
      </x:c>
      <x:c r="V23" s="131" t="str">
        <x:f>IF($E23&lt;&gt;1,"",IF(AND($F23&lt;=V$21,$G23&gt;=V$20),"■",""))</x:f>
      </x:c>
      <x:c r="W23" s="131" t="str">
        <x:f>IF($E23&lt;&gt;1,"",IF(AND($F23&lt;=W$21,$G23&gt;=W$20),"■",""))</x:f>
      </x:c>
      <x:c r="X23" s="131" t="str">
        <x:f>IF($E23&lt;&gt;1,"",IF(AND($F23&lt;=X$21,$G23&gt;=X$20),"■",""))</x:f>
      </x:c>
      <x:c r="Y23" s="131" t="str">
        <x:f>IF($E23&lt;&gt;1,"",IF(AND($F23&lt;=Y$21,$G23&gt;=Y$20),"■",""))</x:f>
      </x:c>
    </x:row>
    <x:row r="24">
      <x:c r="A24" s="118" t="n">
        <x:f>ROW()-21</x:f>
        <x:v>3</x:v>
      </x:c>
      <x:c r="B24" s="118" t="str">
        <x:f>Mapa_Selecao!A6</x:f>
        <x:v>G1_STAKE</x:v>
      </x:c>
      <x:c r="C24" s="118" t="str">
        <x:f>Mapa_Selecao!B6</x:f>
        <x:v>Gate 1 — Oportunidade e Necessidade</x:v>
      </x:c>
      <x:c r="D24" s="118" t="str">
        <x:f>Mapa_Selecao!C6</x:f>
        <x:v>Mapa de stakeholders</x:v>
      </x:c>
      <x:c r="E24" s="118" t="n">
        <x:f>Mapa_Selecao!G6</x:f>
        <x:v>0</x:v>
      </x:c>
      <x:c r="F24" s="127" t="str">
        <x:f>IF($E24&lt;&gt;1,"",VLOOKUP($C24,$A$14:$F$18,4,FALSE)+ROUND((VLOOKUP($C24,$A$14:$F$18,5,FALSE)-VLOOKUP($C24,$A$14:$F$18,4,FALSE)+1)*($M24-1)/MAX(1,$L24),0))</x:f>
      </x:c>
      <x:c r="G24" s="127" t="str">
        <x:f>IF($E24&lt;&gt;1,"",MIN(VLOOKUP($C24,$A$14:$F$18,5,FALSE),VLOOKUP($C24,$A$14:$F$18,4,FALSE)+ROUND((VLOOKUP($C24,$A$14:$F$18,5,FALSE)-VLOOKUP($C24,$A$14:$F$18,4,FALSE)+1)*$M24/MAX(1,$L24),0)-1))</x:f>
      </x:c>
      <x:c r="H24" s="118" t="str">
        <x:f>IF($E24&lt;&gt;1,"",MAX(1,$G24-$F24+1))</x:f>
      </x:c>
      <x:c r="I24" s="118" t="str"/>
      <x:c r="J24" s="118" t="str">
        <x:v>Não iniciado</x:v>
      </x:c>
      <x:c r="K24" s="118" t="str"/>
      <x:c r="L24" s="118" t="n">
        <x:f>COUNTIFS($C$22:$C$100,$C24,$E$22:$E$100,1)</x:f>
        <x:v>0</x:v>
      </x:c>
      <x:c r="M24" s="118" t="str">
        <x:f>IF($E24=1,COUNTIFS($C$22:C24,$C24,$E$22:E24,1),"")</x:f>
      </x:c>
      <x:c r="N24" s="131" t="str">
        <x:f>IF($E24&lt;&gt;1,"",IF(AND($F24&lt;=N$21,$G24&gt;=N$20),"■",""))</x:f>
      </x:c>
      <x:c r="O24" s="131" t="str">
        <x:f>IF($E24&lt;&gt;1,"",IF(AND($F24&lt;=O$21,$G24&gt;=O$20),"■",""))</x:f>
      </x:c>
      <x:c r="P24" s="131" t="str">
        <x:f>IF($E24&lt;&gt;1,"",IF(AND($F24&lt;=P$21,$G24&gt;=P$20),"■",""))</x:f>
      </x:c>
      <x:c r="Q24" s="131" t="str">
        <x:f>IF($E24&lt;&gt;1,"",IF(AND($F24&lt;=Q$21,$G24&gt;=Q$20),"■",""))</x:f>
      </x:c>
      <x:c r="R24" s="131" t="str">
        <x:f>IF($E24&lt;&gt;1,"",IF(AND($F24&lt;=R$21,$G24&gt;=R$20),"■",""))</x:f>
      </x:c>
      <x:c r="S24" s="131" t="str">
        <x:f>IF($E24&lt;&gt;1,"",IF(AND($F24&lt;=S$21,$G24&gt;=S$20),"■",""))</x:f>
      </x:c>
      <x:c r="T24" s="131" t="str">
        <x:f>IF($E24&lt;&gt;1,"",IF(AND($F24&lt;=T$21,$G24&gt;=T$20),"■",""))</x:f>
      </x:c>
      <x:c r="U24" s="131" t="str">
        <x:f>IF($E24&lt;&gt;1,"",IF(AND($F24&lt;=U$21,$G24&gt;=U$20),"■",""))</x:f>
      </x:c>
      <x:c r="V24" s="131" t="str">
        <x:f>IF($E24&lt;&gt;1,"",IF(AND($F24&lt;=V$21,$G24&gt;=V$20),"■",""))</x:f>
      </x:c>
      <x:c r="W24" s="131" t="str">
        <x:f>IF($E24&lt;&gt;1,"",IF(AND($F24&lt;=W$21,$G24&gt;=W$20),"■",""))</x:f>
      </x:c>
      <x:c r="X24" s="131" t="str">
        <x:f>IF($E24&lt;&gt;1,"",IF(AND($F24&lt;=X$21,$G24&gt;=X$20),"■",""))</x:f>
      </x:c>
      <x:c r="Y24" s="131" t="str">
        <x:f>IF($E24&lt;&gt;1,"",IF(AND($F24&lt;=Y$21,$G24&gt;=Y$20),"■",""))</x:f>
      </x:c>
    </x:row>
    <x:row r="25">
      <x:c r="A25" s="118" t="n">
        <x:f>ROW()-21</x:f>
        <x:v>4</x:v>
      </x:c>
      <x:c r="B25" s="118" t="str">
        <x:f>Mapa_Selecao!A7</x:f>
        <x:v>G1_VOC</x:v>
      </x:c>
      <x:c r="C25" s="118" t="str">
        <x:f>Mapa_Selecao!B7</x:f>
        <x:v>Gate 1 — Oportunidade e Necessidade</x:v>
      </x:c>
      <x:c r="D25" s="118" t="str">
        <x:f>Mapa_Selecao!C7</x:f>
        <x:v>VOC inicial</x:v>
      </x:c>
      <x:c r="E25" s="118" t="n">
        <x:f>Mapa_Selecao!G7</x:f>
        <x:v>0</x:v>
      </x:c>
      <x:c r="F25" s="127" t="str">
        <x:f>IF($E25&lt;&gt;1,"",VLOOKUP($C25,$A$14:$F$18,4,FALSE)+ROUND((VLOOKUP($C25,$A$14:$F$18,5,FALSE)-VLOOKUP($C25,$A$14:$F$18,4,FALSE)+1)*($M25-1)/MAX(1,$L25),0))</x:f>
      </x:c>
      <x:c r="G25" s="127" t="str">
        <x:f>IF($E25&lt;&gt;1,"",MIN(VLOOKUP($C25,$A$14:$F$18,5,FALSE),VLOOKUP($C25,$A$14:$F$18,4,FALSE)+ROUND((VLOOKUP($C25,$A$14:$F$18,5,FALSE)-VLOOKUP($C25,$A$14:$F$18,4,FALSE)+1)*$M25/MAX(1,$L25),0)-1))</x:f>
      </x:c>
      <x:c r="H25" s="118" t="str">
        <x:f>IF($E25&lt;&gt;1,"",MAX(1,$G25-$F25+1))</x:f>
      </x:c>
      <x:c r="I25" s="118" t="str"/>
      <x:c r="J25" s="118" t="str">
        <x:v>Não iniciado</x:v>
      </x:c>
      <x:c r="K25" s="118" t="str"/>
      <x:c r="L25" s="118" t="n">
        <x:f>COUNTIFS($C$22:$C$100,$C25,$E$22:$E$100,1)</x:f>
        <x:v>0</x:v>
      </x:c>
      <x:c r="M25" s="118" t="str">
        <x:f>IF($E25=1,COUNTIFS($C$22:C25,$C25,$E$22:E25,1),"")</x:f>
      </x:c>
      <x:c r="N25" s="131" t="str">
        <x:f>IF($E25&lt;&gt;1,"",IF(AND($F25&lt;=N$21,$G25&gt;=N$20),"■",""))</x:f>
      </x:c>
      <x:c r="O25" s="131" t="str">
        <x:f>IF($E25&lt;&gt;1,"",IF(AND($F25&lt;=O$21,$G25&gt;=O$20),"■",""))</x:f>
      </x:c>
      <x:c r="P25" s="131" t="str">
        <x:f>IF($E25&lt;&gt;1,"",IF(AND($F25&lt;=P$21,$G25&gt;=P$20),"■",""))</x:f>
      </x:c>
      <x:c r="Q25" s="131" t="str">
        <x:f>IF($E25&lt;&gt;1,"",IF(AND($F25&lt;=Q$21,$G25&gt;=Q$20),"■",""))</x:f>
      </x:c>
      <x:c r="R25" s="131" t="str">
        <x:f>IF($E25&lt;&gt;1,"",IF(AND($F25&lt;=R$21,$G25&gt;=R$20),"■",""))</x:f>
      </x:c>
      <x:c r="S25" s="131" t="str">
        <x:f>IF($E25&lt;&gt;1,"",IF(AND($F25&lt;=S$21,$G25&gt;=S$20),"■",""))</x:f>
      </x:c>
      <x:c r="T25" s="131" t="str">
        <x:f>IF($E25&lt;&gt;1,"",IF(AND($F25&lt;=T$21,$G25&gt;=T$20),"■",""))</x:f>
      </x:c>
      <x:c r="U25" s="131" t="str">
        <x:f>IF($E25&lt;&gt;1,"",IF(AND($F25&lt;=U$21,$G25&gt;=U$20),"■",""))</x:f>
      </x:c>
      <x:c r="V25" s="131" t="str">
        <x:f>IF($E25&lt;&gt;1,"",IF(AND($F25&lt;=V$21,$G25&gt;=V$20),"■",""))</x:f>
      </x:c>
      <x:c r="W25" s="131" t="str">
        <x:f>IF($E25&lt;&gt;1,"",IF(AND($F25&lt;=W$21,$G25&gt;=W$20),"■",""))</x:f>
      </x:c>
      <x:c r="X25" s="131" t="str">
        <x:f>IF($E25&lt;&gt;1,"",IF(AND($F25&lt;=X$21,$G25&gt;=X$20),"■",""))</x:f>
      </x:c>
      <x:c r="Y25" s="131" t="str">
        <x:f>IF($E25&lt;&gt;1,"",IF(AND($F25&lt;=Y$21,$G25&gt;=Y$20),"■",""))</x:f>
      </x:c>
    </x:row>
    <x:row r="26">
      <x:c r="A26" s="118" t="n">
        <x:f>ROW()-21</x:f>
        <x:v>5</x:v>
      </x:c>
      <x:c r="B26" s="118" t="str">
        <x:f>Mapa_Selecao!A8</x:f>
        <x:v>G1_KOL</x:v>
      </x:c>
      <x:c r="C26" s="118" t="str">
        <x:f>Mapa_Selecao!B8</x:f>
        <x:v>Gate 1 — Oportunidade e Necessidade</x:v>
      </x:c>
      <x:c r="D26" s="118" t="str">
        <x:f>Mapa_Selecao!C8</x:f>
        <x:v>Entrevistas com usuários/KOL</x:v>
      </x:c>
      <x:c r="E26" s="118" t="n">
        <x:f>Mapa_Selecao!G8</x:f>
        <x:v>0</x:v>
      </x:c>
      <x:c r="F26" s="127" t="str">
        <x:f>IF($E26&lt;&gt;1,"",VLOOKUP($C26,$A$14:$F$18,4,FALSE)+ROUND((VLOOKUP($C26,$A$14:$F$18,5,FALSE)-VLOOKUP($C26,$A$14:$F$18,4,FALSE)+1)*($M26-1)/MAX(1,$L26),0))</x:f>
      </x:c>
      <x:c r="G26" s="127" t="str">
        <x:f>IF($E26&lt;&gt;1,"",MIN(VLOOKUP($C26,$A$14:$F$18,5,FALSE),VLOOKUP($C26,$A$14:$F$18,4,FALSE)+ROUND((VLOOKUP($C26,$A$14:$F$18,5,FALSE)-VLOOKUP($C26,$A$14:$F$18,4,FALSE)+1)*$M26/MAX(1,$L26),0)-1))</x:f>
      </x:c>
      <x:c r="H26" s="118" t="str">
        <x:f>IF($E26&lt;&gt;1,"",MAX(1,$G26-$F26+1))</x:f>
      </x:c>
      <x:c r="I26" s="118" t="str"/>
      <x:c r="J26" s="118" t="str">
        <x:v>Não iniciado</x:v>
      </x:c>
      <x:c r="K26" s="118" t="str"/>
      <x:c r="L26" s="118" t="n">
        <x:f>COUNTIFS($C$22:$C$100,$C26,$E$22:$E$100,1)</x:f>
        <x:v>0</x:v>
      </x:c>
      <x:c r="M26" s="118" t="str">
        <x:f>IF($E26=1,COUNTIFS($C$22:C26,$C26,$E$22:E26,1),"")</x:f>
      </x:c>
      <x:c r="N26" s="131" t="str">
        <x:f>IF($E26&lt;&gt;1,"",IF(AND($F26&lt;=N$21,$G26&gt;=N$20),"■",""))</x:f>
      </x:c>
      <x:c r="O26" s="131" t="str">
        <x:f>IF($E26&lt;&gt;1,"",IF(AND($F26&lt;=O$21,$G26&gt;=O$20),"■",""))</x:f>
      </x:c>
      <x:c r="P26" s="131" t="str">
        <x:f>IF($E26&lt;&gt;1,"",IF(AND($F26&lt;=P$21,$G26&gt;=P$20),"■",""))</x:f>
      </x:c>
      <x:c r="Q26" s="131" t="str">
        <x:f>IF($E26&lt;&gt;1,"",IF(AND($F26&lt;=Q$21,$G26&gt;=Q$20),"■",""))</x:f>
      </x:c>
      <x:c r="R26" s="131" t="str">
        <x:f>IF($E26&lt;&gt;1,"",IF(AND($F26&lt;=R$21,$G26&gt;=R$20),"■",""))</x:f>
      </x:c>
      <x:c r="S26" s="131" t="str">
        <x:f>IF($E26&lt;&gt;1,"",IF(AND($F26&lt;=S$21,$G26&gt;=S$20),"■",""))</x:f>
      </x:c>
      <x:c r="T26" s="131" t="str">
        <x:f>IF($E26&lt;&gt;1,"",IF(AND($F26&lt;=T$21,$G26&gt;=T$20),"■",""))</x:f>
      </x:c>
      <x:c r="U26" s="131" t="str">
        <x:f>IF($E26&lt;&gt;1,"",IF(AND($F26&lt;=U$21,$G26&gt;=U$20),"■",""))</x:f>
      </x:c>
      <x:c r="V26" s="131" t="str">
        <x:f>IF($E26&lt;&gt;1,"",IF(AND($F26&lt;=V$21,$G26&gt;=V$20),"■",""))</x:f>
      </x:c>
      <x:c r="W26" s="131" t="str">
        <x:f>IF($E26&lt;&gt;1,"",IF(AND($F26&lt;=W$21,$G26&gt;=W$20),"■",""))</x:f>
      </x:c>
      <x:c r="X26" s="131" t="str">
        <x:f>IF($E26&lt;&gt;1,"",IF(AND($F26&lt;=X$21,$G26&gt;=X$20),"■",""))</x:f>
      </x:c>
      <x:c r="Y26" s="131" t="str">
        <x:f>IF($E26&lt;&gt;1,"",IF(AND($F26&lt;=Y$21,$G26&gt;=Y$20),"■",""))</x:f>
      </x:c>
    </x:row>
    <x:row r="27">
      <x:c r="A27" s="118" t="n">
        <x:f>ROW()-21</x:f>
        <x:v>6</x:v>
      </x:c>
      <x:c r="B27" s="118" t="str">
        <x:f>Mapa_Selecao!A9</x:f>
        <x:v>G1_CAMPO</x:v>
      </x:c>
      <x:c r="C27" s="118" t="str">
        <x:f>Mapa_Selecao!B9</x:f>
        <x:v>Gate 1 — Oportunidade e Necessidade</x:v>
      </x:c>
      <x:c r="D27" s="118" t="str">
        <x:f>Mapa_Selecao!C9</x:f>
        <x:v>Observação em campo</x:v>
      </x:c>
      <x:c r="E27" s="118" t="n">
        <x:f>Mapa_Selecao!G9</x:f>
        <x:v>0</x:v>
      </x:c>
      <x:c r="F27" s="127" t="str">
        <x:f>IF($E27&lt;&gt;1,"",VLOOKUP($C27,$A$14:$F$18,4,FALSE)+ROUND((VLOOKUP($C27,$A$14:$F$18,5,FALSE)-VLOOKUP($C27,$A$14:$F$18,4,FALSE)+1)*($M27-1)/MAX(1,$L27),0))</x:f>
      </x:c>
      <x:c r="G27" s="127" t="str">
        <x:f>IF($E27&lt;&gt;1,"",MIN(VLOOKUP($C27,$A$14:$F$18,5,FALSE),VLOOKUP($C27,$A$14:$F$18,4,FALSE)+ROUND((VLOOKUP($C27,$A$14:$F$18,5,FALSE)-VLOOKUP($C27,$A$14:$F$18,4,FALSE)+1)*$M27/MAX(1,$L27),0)-1))</x:f>
      </x:c>
      <x:c r="H27" s="118" t="str">
        <x:f>IF($E27&lt;&gt;1,"",MAX(1,$G27-$F27+1))</x:f>
      </x:c>
      <x:c r="I27" s="118" t="str"/>
      <x:c r="J27" s="118" t="str">
        <x:v>Não iniciado</x:v>
      </x:c>
      <x:c r="K27" s="118" t="str"/>
      <x:c r="L27" s="118" t="n">
        <x:f>COUNTIFS($C$22:$C$100,$C27,$E$22:$E$100,1)</x:f>
        <x:v>0</x:v>
      </x:c>
      <x:c r="M27" s="118" t="str">
        <x:f>IF($E27=1,COUNTIFS($C$22:C27,$C27,$E$22:E27,1),"")</x:f>
      </x:c>
      <x:c r="N27" s="131" t="str">
        <x:f>IF($E27&lt;&gt;1,"",IF(AND($F27&lt;=N$21,$G27&gt;=N$20),"■",""))</x:f>
      </x:c>
      <x:c r="O27" s="131" t="str">
        <x:f>IF($E27&lt;&gt;1,"",IF(AND($F27&lt;=O$21,$G27&gt;=O$20),"■",""))</x:f>
      </x:c>
      <x:c r="P27" s="131" t="str">
        <x:f>IF($E27&lt;&gt;1,"",IF(AND($F27&lt;=P$21,$G27&gt;=P$20),"■",""))</x:f>
      </x:c>
      <x:c r="Q27" s="131" t="str">
        <x:f>IF($E27&lt;&gt;1,"",IF(AND($F27&lt;=Q$21,$G27&gt;=Q$20),"■",""))</x:f>
      </x:c>
      <x:c r="R27" s="131" t="str">
        <x:f>IF($E27&lt;&gt;1,"",IF(AND($F27&lt;=R$21,$G27&gt;=R$20),"■",""))</x:f>
      </x:c>
      <x:c r="S27" s="131" t="str">
        <x:f>IF($E27&lt;&gt;1,"",IF(AND($F27&lt;=S$21,$G27&gt;=S$20),"■",""))</x:f>
      </x:c>
      <x:c r="T27" s="131" t="str">
        <x:f>IF($E27&lt;&gt;1,"",IF(AND($F27&lt;=T$21,$G27&gt;=T$20),"■",""))</x:f>
      </x:c>
      <x:c r="U27" s="131" t="str">
        <x:f>IF($E27&lt;&gt;1,"",IF(AND($F27&lt;=U$21,$G27&gt;=U$20),"■",""))</x:f>
      </x:c>
      <x:c r="V27" s="131" t="str">
        <x:f>IF($E27&lt;&gt;1,"",IF(AND($F27&lt;=V$21,$G27&gt;=V$20),"■",""))</x:f>
      </x:c>
      <x:c r="W27" s="131" t="str">
        <x:f>IF($E27&lt;&gt;1,"",IF(AND($F27&lt;=W$21,$G27&gt;=W$20),"■",""))</x:f>
      </x:c>
      <x:c r="X27" s="131" t="str">
        <x:f>IF($E27&lt;&gt;1,"",IF(AND($F27&lt;=X$21,$G27&gt;=X$20),"■",""))</x:f>
      </x:c>
      <x:c r="Y27" s="131" t="str">
        <x:f>IF($E27&lt;&gt;1,"",IF(AND($F27&lt;=Y$21,$G27&gt;=Y$20),"■",""))</x:f>
      </x:c>
    </x:row>
    <x:row r="28">
      <x:c r="A28" s="118" t="n">
        <x:f>ROW()-21</x:f>
        <x:v>7</x:v>
      </x:c>
      <x:c r="B28" s="118" t="str">
        <x:f>Mapa_Selecao!A10</x:f>
        <x:v>G1_GAP</x:v>
      </x:c>
      <x:c r="C28" s="118" t="str">
        <x:f>Mapa_Selecao!B10</x:f>
        <x:v>Gate 1 — Oportunidade e Necessidade</x:v>
      </x:c>
      <x:c r="D28" s="118" t="str">
        <x:f>Mapa_Selecao!C10</x:f>
        <x:v>Gap Analysis</x:v>
      </x:c>
      <x:c r="E28" s="118" t="n">
        <x:f>Mapa_Selecao!G10</x:f>
        <x:v>0</x:v>
      </x:c>
      <x:c r="F28" s="127" t="str">
        <x:f>IF($E28&lt;&gt;1,"",VLOOKUP($C28,$A$14:$F$18,4,FALSE)+ROUND((VLOOKUP($C28,$A$14:$F$18,5,FALSE)-VLOOKUP($C28,$A$14:$F$18,4,FALSE)+1)*($M28-1)/MAX(1,$L28),0))</x:f>
      </x:c>
      <x:c r="G28" s="127" t="str">
        <x:f>IF($E28&lt;&gt;1,"",MIN(VLOOKUP($C28,$A$14:$F$18,5,FALSE),VLOOKUP($C28,$A$14:$F$18,4,FALSE)+ROUND((VLOOKUP($C28,$A$14:$F$18,5,FALSE)-VLOOKUP($C28,$A$14:$F$18,4,FALSE)+1)*$M28/MAX(1,$L28),0)-1))</x:f>
      </x:c>
      <x:c r="H28" s="118" t="str">
        <x:f>IF($E28&lt;&gt;1,"",MAX(1,$G28-$F28+1))</x:f>
      </x:c>
      <x:c r="I28" s="118" t="str"/>
      <x:c r="J28" s="118" t="str">
        <x:v>Não iniciado</x:v>
      </x:c>
      <x:c r="K28" s="118" t="str"/>
      <x:c r="L28" s="118" t="n">
        <x:f>COUNTIFS($C$22:$C$100,$C28,$E$22:$E$100,1)</x:f>
        <x:v>0</x:v>
      </x:c>
      <x:c r="M28" s="118" t="str">
        <x:f>IF($E28=1,COUNTIFS($C$22:C28,$C28,$E$22:E28,1),"")</x:f>
      </x:c>
      <x:c r="N28" s="131" t="str">
        <x:f>IF($E28&lt;&gt;1,"",IF(AND($F28&lt;=N$21,$G28&gt;=N$20),"■",""))</x:f>
      </x:c>
      <x:c r="O28" s="131" t="str">
        <x:f>IF($E28&lt;&gt;1,"",IF(AND($F28&lt;=O$21,$G28&gt;=O$20),"■",""))</x:f>
      </x:c>
      <x:c r="P28" s="131" t="str">
        <x:f>IF($E28&lt;&gt;1,"",IF(AND($F28&lt;=P$21,$G28&gt;=P$20),"■",""))</x:f>
      </x:c>
      <x:c r="Q28" s="131" t="str">
        <x:f>IF($E28&lt;&gt;1,"",IF(AND($F28&lt;=Q$21,$G28&gt;=Q$20),"■",""))</x:f>
      </x:c>
      <x:c r="R28" s="131" t="str">
        <x:f>IF($E28&lt;&gt;1,"",IF(AND($F28&lt;=R$21,$G28&gt;=R$20),"■",""))</x:f>
      </x:c>
      <x:c r="S28" s="131" t="str">
        <x:f>IF($E28&lt;&gt;1,"",IF(AND($F28&lt;=S$21,$G28&gt;=S$20),"■",""))</x:f>
      </x:c>
      <x:c r="T28" s="131" t="str">
        <x:f>IF($E28&lt;&gt;1,"",IF(AND($F28&lt;=T$21,$G28&gt;=T$20),"■",""))</x:f>
      </x:c>
      <x:c r="U28" s="131" t="str">
        <x:f>IF($E28&lt;&gt;1,"",IF(AND($F28&lt;=U$21,$G28&gt;=U$20),"■",""))</x:f>
      </x:c>
      <x:c r="V28" s="131" t="str">
        <x:f>IF($E28&lt;&gt;1,"",IF(AND($F28&lt;=V$21,$G28&gt;=V$20),"■",""))</x:f>
      </x:c>
      <x:c r="W28" s="131" t="str">
        <x:f>IF($E28&lt;&gt;1,"",IF(AND($F28&lt;=W$21,$G28&gt;=W$20),"■",""))</x:f>
      </x:c>
      <x:c r="X28" s="131" t="str">
        <x:f>IF($E28&lt;&gt;1,"",IF(AND($F28&lt;=X$21,$G28&gt;=X$20),"■",""))</x:f>
      </x:c>
      <x:c r="Y28" s="131" t="str">
        <x:f>IF($E28&lt;&gt;1,"",IF(AND($F28&lt;=Y$21,$G28&gt;=Y$20),"■",""))</x:f>
      </x:c>
    </x:row>
    <x:row r="29">
      <x:c r="A29" s="118" t="n">
        <x:f>ROW()-21</x:f>
        <x:v>8</x:v>
      </x:c>
      <x:c r="B29" s="118" t="str">
        <x:f>Mapa_Selecao!A11</x:f>
        <x:v>G1_BENCH</x:v>
      </x:c>
      <x:c r="C29" s="118" t="str">
        <x:f>Mapa_Selecao!B11</x:f>
        <x:v>Gate 1 — Oportunidade e Necessidade</x:v>
      </x:c>
      <x:c r="D29" s="118" t="str">
        <x:f>Mapa_Selecao!C11</x:f>
        <x:v>Benchmarking preliminar</x:v>
      </x:c>
      <x:c r="E29" s="118" t="n">
        <x:f>Mapa_Selecao!G11</x:f>
        <x:v>0</x:v>
      </x:c>
      <x:c r="F29" s="127" t="str">
        <x:f>IF($E29&lt;&gt;1,"",VLOOKUP($C29,$A$14:$F$18,4,FALSE)+ROUND((VLOOKUP($C29,$A$14:$F$18,5,FALSE)-VLOOKUP($C29,$A$14:$F$18,4,FALSE)+1)*($M29-1)/MAX(1,$L29),0))</x:f>
      </x:c>
      <x:c r="G29" s="127" t="str">
        <x:f>IF($E29&lt;&gt;1,"",MIN(VLOOKUP($C29,$A$14:$F$18,5,FALSE),VLOOKUP($C29,$A$14:$F$18,4,FALSE)+ROUND((VLOOKUP($C29,$A$14:$F$18,5,FALSE)-VLOOKUP($C29,$A$14:$F$18,4,FALSE)+1)*$M29/MAX(1,$L29),0)-1))</x:f>
      </x:c>
      <x:c r="H29" s="118" t="str">
        <x:f>IF($E29&lt;&gt;1,"",MAX(1,$G29-$F29+1))</x:f>
      </x:c>
      <x:c r="I29" s="118" t="str"/>
      <x:c r="J29" s="118" t="str">
        <x:v>Não iniciado</x:v>
      </x:c>
      <x:c r="K29" s="118" t="str"/>
      <x:c r="L29" s="118" t="n">
        <x:f>COUNTIFS($C$22:$C$100,$C29,$E$22:$E$100,1)</x:f>
        <x:v>0</x:v>
      </x:c>
      <x:c r="M29" s="118" t="str">
        <x:f>IF($E29=1,COUNTIFS($C$22:C29,$C29,$E$22:E29,1),"")</x:f>
      </x:c>
      <x:c r="N29" s="131" t="str">
        <x:f>IF($E29&lt;&gt;1,"",IF(AND($F29&lt;=N$21,$G29&gt;=N$20),"■",""))</x:f>
      </x:c>
      <x:c r="O29" s="131" t="str">
        <x:f>IF($E29&lt;&gt;1,"",IF(AND($F29&lt;=O$21,$G29&gt;=O$20),"■",""))</x:f>
      </x:c>
      <x:c r="P29" s="131" t="str">
        <x:f>IF($E29&lt;&gt;1,"",IF(AND($F29&lt;=P$21,$G29&gt;=P$20),"■",""))</x:f>
      </x:c>
      <x:c r="Q29" s="131" t="str">
        <x:f>IF($E29&lt;&gt;1,"",IF(AND($F29&lt;=Q$21,$G29&gt;=Q$20),"■",""))</x:f>
      </x:c>
      <x:c r="R29" s="131" t="str">
        <x:f>IF($E29&lt;&gt;1,"",IF(AND($F29&lt;=R$21,$G29&gt;=R$20),"■",""))</x:f>
      </x:c>
      <x:c r="S29" s="131" t="str">
        <x:f>IF($E29&lt;&gt;1,"",IF(AND($F29&lt;=S$21,$G29&gt;=S$20),"■",""))</x:f>
      </x:c>
      <x:c r="T29" s="131" t="str">
        <x:f>IF($E29&lt;&gt;1,"",IF(AND($F29&lt;=T$21,$G29&gt;=T$20),"■",""))</x:f>
      </x:c>
      <x:c r="U29" s="131" t="str">
        <x:f>IF($E29&lt;&gt;1,"",IF(AND($F29&lt;=U$21,$G29&gt;=U$20),"■",""))</x:f>
      </x:c>
      <x:c r="V29" s="131" t="str">
        <x:f>IF($E29&lt;&gt;1,"",IF(AND($F29&lt;=V$21,$G29&gt;=V$20),"■",""))</x:f>
      </x:c>
      <x:c r="W29" s="131" t="str">
        <x:f>IF($E29&lt;&gt;1,"",IF(AND($F29&lt;=W$21,$G29&gt;=W$20),"■",""))</x:f>
      </x:c>
      <x:c r="X29" s="131" t="str">
        <x:f>IF($E29&lt;&gt;1,"",IF(AND($F29&lt;=X$21,$G29&gt;=X$20),"■",""))</x:f>
      </x:c>
      <x:c r="Y29" s="131" t="str">
        <x:f>IF($E29&lt;&gt;1,"",IF(AND($F29&lt;=Y$21,$G29&gt;=Y$20),"■",""))</x:f>
      </x:c>
    </x:row>
    <x:row r="30">
      <x:c r="A30" s="118" t="n">
        <x:f>ROW()-21</x:f>
        <x:v>9</x:v>
      </x:c>
      <x:c r="B30" s="118" t="str">
        <x:f>Mapa_Selecao!A12</x:f>
        <x:v>G1_VALOR</x:v>
      </x:c>
      <x:c r="C30" s="118" t="str">
        <x:f>Mapa_Selecao!B12</x:f>
        <x:v>Gate 1 — Oportunidade e Necessidade</x:v>
      </x:c>
      <x:c r="D30" s="118" t="str">
        <x:f>Mapa_Selecao!C12</x:f>
        <x:v>Proposta de valor inicial</x:v>
      </x:c>
      <x:c r="E30" s="118" t="n">
        <x:f>Mapa_Selecao!G12</x:f>
        <x:v>0</x:v>
      </x:c>
      <x:c r="F30" s="127" t="str">
        <x:f>IF($E30&lt;&gt;1,"",VLOOKUP($C30,$A$14:$F$18,4,FALSE)+ROUND((VLOOKUP($C30,$A$14:$F$18,5,FALSE)-VLOOKUP($C30,$A$14:$F$18,4,FALSE)+1)*($M30-1)/MAX(1,$L30),0))</x:f>
      </x:c>
      <x:c r="G30" s="127" t="str">
        <x:f>IF($E30&lt;&gt;1,"",MIN(VLOOKUP($C30,$A$14:$F$18,5,FALSE),VLOOKUP($C30,$A$14:$F$18,4,FALSE)+ROUND((VLOOKUP($C30,$A$14:$F$18,5,FALSE)-VLOOKUP($C30,$A$14:$F$18,4,FALSE)+1)*$M30/MAX(1,$L30),0)-1))</x:f>
      </x:c>
      <x:c r="H30" s="118" t="str">
        <x:f>IF($E30&lt;&gt;1,"",MAX(1,$G30-$F30+1))</x:f>
      </x:c>
      <x:c r="I30" s="118" t="str"/>
      <x:c r="J30" s="118" t="str">
        <x:v>Não iniciado</x:v>
      </x:c>
      <x:c r="K30" s="118" t="str"/>
      <x:c r="L30" s="118" t="n">
        <x:f>COUNTIFS($C$22:$C$100,$C30,$E$22:$E$100,1)</x:f>
        <x:v>0</x:v>
      </x:c>
      <x:c r="M30" s="118" t="str">
        <x:f>IF($E30=1,COUNTIFS($C$22:C30,$C30,$E$22:E30,1),"")</x:f>
      </x:c>
      <x:c r="N30" s="131" t="str">
        <x:f>IF($E30&lt;&gt;1,"",IF(AND($F30&lt;=N$21,$G30&gt;=N$20),"■",""))</x:f>
      </x:c>
      <x:c r="O30" s="131" t="str">
        <x:f>IF($E30&lt;&gt;1,"",IF(AND($F30&lt;=O$21,$G30&gt;=O$20),"■",""))</x:f>
      </x:c>
      <x:c r="P30" s="131" t="str">
        <x:f>IF($E30&lt;&gt;1,"",IF(AND($F30&lt;=P$21,$G30&gt;=P$20),"■",""))</x:f>
      </x:c>
      <x:c r="Q30" s="131" t="str">
        <x:f>IF($E30&lt;&gt;1,"",IF(AND($F30&lt;=Q$21,$G30&gt;=Q$20),"■",""))</x:f>
      </x:c>
      <x:c r="R30" s="131" t="str">
        <x:f>IF($E30&lt;&gt;1,"",IF(AND($F30&lt;=R$21,$G30&gt;=R$20),"■",""))</x:f>
      </x:c>
      <x:c r="S30" s="131" t="str">
        <x:f>IF($E30&lt;&gt;1,"",IF(AND($F30&lt;=S$21,$G30&gt;=S$20),"■",""))</x:f>
      </x:c>
      <x:c r="T30" s="131" t="str">
        <x:f>IF($E30&lt;&gt;1,"",IF(AND($F30&lt;=T$21,$G30&gt;=T$20),"■",""))</x:f>
      </x:c>
      <x:c r="U30" s="131" t="str">
        <x:f>IF($E30&lt;&gt;1,"",IF(AND($F30&lt;=U$21,$G30&gt;=U$20),"■",""))</x:f>
      </x:c>
      <x:c r="V30" s="131" t="str">
        <x:f>IF($E30&lt;&gt;1,"",IF(AND($F30&lt;=V$21,$G30&gt;=V$20),"■",""))</x:f>
      </x:c>
      <x:c r="W30" s="131" t="str">
        <x:f>IF($E30&lt;&gt;1,"",IF(AND($F30&lt;=W$21,$G30&gt;=W$20),"■",""))</x:f>
      </x:c>
      <x:c r="X30" s="131" t="str">
        <x:f>IF($E30&lt;&gt;1,"",IF(AND($F30&lt;=X$21,$G30&gt;=X$20),"■",""))</x:f>
      </x:c>
      <x:c r="Y30" s="131" t="str">
        <x:f>IF($E30&lt;&gt;1,"",IF(AND($F30&lt;=Y$21,$G30&gt;=Y$20),"■",""))</x:f>
      </x:c>
    </x:row>
    <x:row r="31">
      <x:c r="A31" s="118" t="n">
        <x:f>ROW()-21</x:f>
        <x:v>10</x:v>
      </x:c>
      <x:c r="B31" s="118" t="str">
        <x:f>Mapa_Selecao!A13</x:f>
        <x:v>G1_RVV</x:v>
      </x:c>
      <x:c r="C31" s="118" t="str">
        <x:f>Mapa_Selecao!B13</x:f>
        <x:v>Gate 1 — Oportunidade e Necessidade</x:v>
      </x:c>
      <x:c r="D31" s="118" t="str">
        <x:f>Mapa_Selecao!C13</x:f>
        <x:v>Real, Vencível, Vale a pena</x:v>
      </x:c>
      <x:c r="E31" s="118" t="n">
        <x:f>Mapa_Selecao!G13</x:f>
        <x:v>0</x:v>
      </x:c>
      <x:c r="F31" s="127" t="str">
        <x:f>IF($E31&lt;&gt;1,"",VLOOKUP($C31,$A$14:$F$18,4,FALSE)+ROUND((VLOOKUP($C31,$A$14:$F$18,5,FALSE)-VLOOKUP($C31,$A$14:$F$18,4,FALSE)+1)*($M31-1)/MAX(1,$L31),0))</x:f>
      </x:c>
      <x:c r="G31" s="127" t="str">
        <x:f>IF($E31&lt;&gt;1,"",MIN(VLOOKUP($C31,$A$14:$F$18,5,FALSE),VLOOKUP($C31,$A$14:$F$18,4,FALSE)+ROUND((VLOOKUP($C31,$A$14:$F$18,5,FALSE)-VLOOKUP($C31,$A$14:$F$18,4,FALSE)+1)*$M31/MAX(1,$L31),0)-1))</x:f>
      </x:c>
      <x:c r="H31" s="118" t="str">
        <x:f>IF($E31&lt;&gt;1,"",MAX(1,$G31-$F31+1))</x:f>
      </x:c>
      <x:c r="I31" s="118" t="str"/>
      <x:c r="J31" s="118" t="str">
        <x:v>Não iniciado</x:v>
      </x:c>
      <x:c r="K31" s="118" t="str"/>
      <x:c r="L31" s="118" t="n">
        <x:f>COUNTIFS($C$22:$C$100,$C31,$E$22:$E$100,1)</x:f>
        <x:v>0</x:v>
      </x:c>
      <x:c r="M31" s="118" t="str">
        <x:f>IF($E31=1,COUNTIFS($C$22:C31,$C31,$E$22:E31,1),"")</x:f>
      </x:c>
      <x:c r="N31" s="131" t="str">
        <x:f>IF($E31&lt;&gt;1,"",IF(AND($F31&lt;=N$21,$G31&gt;=N$20),"■",""))</x:f>
      </x:c>
      <x:c r="O31" s="131" t="str">
        <x:f>IF($E31&lt;&gt;1,"",IF(AND($F31&lt;=O$21,$G31&gt;=O$20),"■",""))</x:f>
      </x:c>
      <x:c r="P31" s="131" t="str">
        <x:f>IF($E31&lt;&gt;1,"",IF(AND($F31&lt;=P$21,$G31&gt;=P$20),"■",""))</x:f>
      </x:c>
      <x:c r="Q31" s="131" t="str">
        <x:f>IF($E31&lt;&gt;1,"",IF(AND($F31&lt;=Q$21,$G31&gt;=Q$20),"■",""))</x:f>
      </x:c>
      <x:c r="R31" s="131" t="str">
        <x:f>IF($E31&lt;&gt;1,"",IF(AND($F31&lt;=R$21,$G31&gt;=R$20),"■",""))</x:f>
      </x:c>
      <x:c r="S31" s="131" t="str">
        <x:f>IF($E31&lt;&gt;1,"",IF(AND($F31&lt;=S$21,$G31&gt;=S$20),"■",""))</x:f>
      </x:c>
      <x:c r="T31" s="131" t="str">
        <x:f>IF($E31&lt;&gt;1,"",IF(AND($F31&lt;=T$21,$G31&gt;=T$20),"■",""))</x:f>
      </x:c>
      <x:c r="U31" s="131" t="str">
        <x:f>IF($E31&lt;&gt;1,"",IF(AND($F31&lt;=U$21,$G31&gt;=U$20),"■",""))</x:f>
      </x:c>
      <x:c r="V31" s="131" t="str">
        <x:f>IF($E31&lt;&gt;1,"",IF(AND($F31&lt;=V$21,$G31&gt;=V$20),"■",""))</x:f>
      </x:c>
      <x:c r="W31" s="131" t="str">
        <x:f>IF($E31&lt;&gt;1,"",IF(AND($F31&lt;=W$21,$G31&gt;=W$20),"■",""))</x:f>
      </x:c>
      <x:c r="X31" s="131" t="str">
        <x:f>IF($E31&lt;&gt;1,"",IF(AND($F31&lt;=X$21,$G31&gt;=X$20),"■",""))</x:f>
      </x:c>
      <x:c r="Y31" s="131" t="str">
        <x:f>IF($E31&lt;&gt;1,"",IF(AND($F31&lt;=Y$21,$G31&gt;=Y$20),"■",""))</x:f>
      </x:c>
    </x:row>
    <x:row r="32">
      <x:c r="A32" s="118" t="n">
        <x:f>ROW()-21</x:f>
        <x:v>11</x:v>
      </x:c>
      <x:c r="B32" s="118" t="str">
        <x:f>Mapa_Selecao!A14</x:f>
        <x:v>G1_INCERT</x:v>
      </x:c>
      <x:c r="C32" s="118" t="str">
        <x:f>Mapa_Selecao!B14</x:f>
        <x:v>Gate 1 — Oportunidade e Necessidade</x:v>
      </x:c>
      <x:c r="D32" s="118" t="str">
        <x:f>Mapa_Selecao!C14</x:f>
        <x:v>Mapa inicial de incertezas</x:v>
      </x:c>
      <x:c r="E32" s="118" t="n">
        <x:f>Mapa_Selecao!G14</x:f>
        <x:v>0</x:v>
      </x:c>
      <x:c r="F32" s="127" t="str">
        <x:f>IF($E32&lt;&gt;1,"",VLOOKUP($C32,$A$14:$F$18,4,FALSE)+ROUND((VLOOKUP($C32,$A$14:$F$18,5,FALSE)-VLOOKUP($C32,$A$14:$F$18,4,FALSE)+1)*($M32-1)/MAX(1,$L32),0))</x:f>
      </x:c>
      <x:c r="G32" s="127" t="str">
        <x:f>IF($E32&lt;&gt;1,"",MIN(VLOOKUP($C32,$A$14:$F$18,5,FALSE),VLOOKUP($C32,$A$14:$F$18,4,FALSE)+ROUND((VLOOKUP($C32,$A$14:$F$18,5,FALSE)-VLOOKUP($C32,$A$14:$F$18,4,FALSE)+1)*$M32/MAX(1,$L32),0)-1))</x:f>
      </x:c>
      <x:c r="H32" s="118" t="str">
        <x:f>IF($E32&lt;&gt;1,"",MAX(1,$G32-$F32+1))</x:f>
      </x:c>
      <x:c r="I32" s="118" t="str"/>
      <x:c r="J32" s="118" t="str">
        <x:v>Não iniciado</x:v>
      </x:c>
      <x:c r="K32" s="118" t="str"/>
      <x:c r="L32" s="118" t="n">
        <x:f>COUNTIFS($C$22:$C$100,$C32,$E$22:$E$100,1)</x:f>
        <x:v>0</x:v>
      </x:c>
      <x:c r="M32" s="118" t="str">
        <x:f>IF($E32=1,COUNTIFS($C$22:C32,$C32,$E$22:E32,1),"")</x:f>
      </x:c>
      <x:c r="N32" s="131" t="str">
        <x:f>IF($E32&lt;&gt;1,"",IF(AND($F32&lt;=N$21,$G32&gt;=N$20),"■",""))</x:f>
      </x:c>
      <x:c r="O32" s="131" t="str">
        <x:f>IF($E32&lt;&gt;1,"",IF(AND($F32&lt;=O$21,$G32&gt;=O$20),"■",""))</x:f>
      </x:c>
      <x:c r="P32" s="131" t="str">
        <x:f>IF($E32&lt;&gt;1,"",IF(AND($F32&lt;=P$21,$G32&gt;=P$20),"■",""))</x:f>
      </x:c>
      <x:c r="Q32" s="131" t="str">
        <x:f>IF($E32&lt;&gt;1,"",IF(AND($F32&lt;=Q$21,$G32&gt;=Q$20),"■",""))</x:f>
      </x:c>
      <x:c r="R32" s="131" t="str">
        <x:f>IF($E32&lt;&gt;1,"",IF(AND($F32&lt;=R$21,$G32&gt;=R$20),"■",""))</x:f>
      </x:c>
      <x:c r="S32" s="131" t="str">
        <x:f>IF($E32&lt;&gt;1,"",IF(AND($F32&lt;=S$21,$G32&gt;=S$20),"■",""))</x:f>
      </x:c>
      <x:c r="T32" s="131" t="str">
        <x:f>IF($E32&lt;&gt;1,"",IF(AND($F32&lt;=T$21,$G32&gt;=T$20),"■",""))</x:f>
      </x:c>
      <x:c r="U32" s="131" t="str">
        <x:f>IF($E32&lt;&gt;1,"",IF(AND($F32&lt;=U$21,$G32&gt;=U$20),"■",""))</x:f>
      </x:c>
      <x:c r="V32" s="131" t="str">
        <x:f>IF($E32&lt;&gt;1,"",IF(AND($F32&lt;=V$21,$G32&gt;=V$20),"■",""))</x:f>
      </x:c>
      <x:c r="W32" s="131" t="str">
        <x:f>IF($E32&lt;&gt;1,"",IF(AND($F32&lt;=W$21,$G32&gt;=W$20),"■",""))</x:f>
      </x:c>
      <x:c r="X32" s="131" t="str">
        <x:f>IF($E32&lt;&gt;1,"",IF(AND($F32&lt;=X$21,$G32&gt;=X$20),"■",""))</x:f>
      </x:c>
      <x:c r="Y32" s="131" t="str">
        <x:f>IF($E32&lt;&gt;1,"",IF(AND($F32&lt;=Y$21,$G32&gt;=Y$20),"■",""))</x:f>
      </x:c>
    </x:row>
    <x:row r="33">
      <x:c r="A33" s="118" t="n">
        <x:f>ROW()-21</x:f>
        <x:v>12</x:v>
      </x:c>
      <x:c r="B33" s="118" t="str">
        <x:f>Mapa_Selecao!A15</x:f>
        <x:v>G1_GONOGO</x:v>
      </x:c>
      <x:c r="C33" s="118" t="str">
        <x:f>Mapa_Selecao!B15</x:f>
        <x:v>Gate 1 — Oportunidade e Necessidade</x:v>
      </x:c>
      <x:c r="D33" s="118" t="str">
        <x:f>Mapa_Selecao!C15</x:f>
        <x:v>Matriz Go/No-Go — Gate 1</x:v>
      </x:c>
      <x:c r="E33" s="118" t="n">
        <x:f>Mapa_Selecao!G15</x:f>
        <x:v>0</x:v>
      </x:c>
      <x:c r="F33" s="127" t="str">
        <x:f>IF($E33&lt;&gt;1,"",VLOOKUP($C33,$A$14:$F$18,4,FALSE)+ROUND((VLOOKUP($C33,$A$14:$F$18,5,FALSE)-VLOOKUP($C33,$A$14:$F$18,4,FALSE)+1)*($M33-1)/MAX(1,$L33),0))</x:f>
      </x:c>
      <x:c r="G33" s="127" t="str">
        <x:f>IF($E33&lt;&gt;1,"",MIN(VLOOKUP($C33,$A$14:$F$18,5,FALSE),VLOOKUP($C33,$A$14:$F$18,4,FALSE)+ROUND((VLOOKUP($C33,$A$14:$F$18,5,FALSE)-VLOOKUP($C33,$A$14:$F$18,4,FALSE)+1)*$M33/MAX(1,$L33),0)-1))</x:f>
      </x:c>
      <x:c r="H33" s="118" t="str">
        <x:f>IF($E33&lt;&gt;1,"",MAX(1,$G33-$F33+1))</x:f>
      </x:c>
      <x:c r="I33" s="118" t="str"/>
      <x:c r="J33" s="118" t="str">
        <x:v>Não iniciado</x:v>
      </x:c>
      <x:c r="K33" s="118" t="str"/>
      <x:c r="L33" s="118" t="n">
        <x:f>COUNTIFS($C$22:$C$100,$C33,$E$22:$E$100,1)</x:f>
        <x:v>0</x:v>
      </x:c>
      <x:c r="M33" s="118" t="str">
        <x:f>IF($E33=1,COUNTIFS($C$22:C33,$C33,$E$22:E33,1),"")</x:f>
      </x:c>
      <x:c r="N33" s="131" t="str">
        <x:f>IF($E33&lt;&gt;1,"",IF(AND($F33&lt;=N$21,$G33&gt;=N$20),"■",""))</x:f>
      </x:c>
      <x:c r="O33" s="131" t="str">
        <x:f>IF($E33&lt;&gt;1,"",IF(AND($F33&lt;=O$21,$G33&gt;=O$20),"■",""))</x:f>
      </x:c>
      <x:c r="P33" s="131" t="str">
        <x:f>IF($E33&lt;&gt;1,"",IF(AND($F33&lt;=P$21,$G33&gt;=P$20),"■",""))</x:f>
      </x:c>
      <x:c r="Q33" s="131" t="str">
        <x:f>IF($E33&lt;&gt;1,"",IF(AND($F33&lt;=Q$21,$G33&gt;=Q$20),"■",""))</x:f>
      </x:c>
      <x:c r="R33" s="131" t="str">
        <x:f>IF($E33&lt;&gt;1,"",IF(AND($F33&lt;=R$21,$G33&gt;=R$20),"■",""))</x:f>
      </x:c>
      <x:c r="S33" s="131" t="str">
        <x:f>IF($E33&lt;&gt;1,"",IF(AND($F33&lt;=S$21,$G33&gt;=S$20),"■",""))</x:f>
      </x:c>
      <x:c r="T33" s="131" t="str">
        <x:f>IF($E33&lt;&gt;1,"",IF(AND($F33&lt;=T$21,$G33&gt;=T$20),"■",""))</x:f>
      </x:c>
      <x:c r="U33" s="131" t="str">
        <x:f>IF($E33&lt;&gt;1,"",IF(AND($F33&lt;=U$21,$G33&gt;=U$20),"■",""))</x:f>
      </x:c>
      <x:c r="V33" s="131" t="str">
        <x:f>IF($E33&lt;&gt;1,"",IF(AND($F33&lt;=V$21,$G33&gt;=V$20),"■",""))</x:f>
      </x:c>
      <x:c r="W33" s="131" t="str">
        <x:f>IF($E33&lt;&gt;1,"",IF(AND($F33&lt;=W$21,$G33&gt;=W$20),"■",""))</x:f>
      </x:c>
      <x:c r="X33" s="131" t="str">
        <x:f>IF($E33&lt;&gt;1,"",IF(AND($F33&lt;=X$21,$G33&gt;=X$20),"■",""))</x:f>
      </x:c>
      <x:c r="Y33" s="131" t="str">
        <x:f>IF($E33&lt;&gt;1,"",IF(AND($F33&lt;=Y$21,$G33&gt;=Y$20),"■",""))</x:f>
      </x:c>
    </x:row>
    <x:row r="34">
      <x:c r="A34" s="118" t="n">
        <x:f>ROW()-21</x:f>
        <x:v>13</x:v>
      </x:c>
      <x:c r="B34" s="118" t="str">
        <x:f>Mapa_Selecao!A16</x:f>
        <x:v>G2_ROTA</x:v>
      </x:c>
      <x:c r="C34" s="118" t="str">
        <x:f>Mapa_Selecao!B16</x:f>
        <x:v>Gate 2 — Estratégia e Requisitos</x:v>
      </x:c>
      <x:c r="D34" s="118" t="str">
        <x:f>Mapa_Selecao!C16</x:f>
        <x:v>Classificação da rota de desenvolvimento</x:v>
      </x:c>
      <x:c r="E34" s="118" t="n">
        <x:f>Mapa_Selecao!G16</x:f>
        <x:v>0</x:v>
      </x:c>
      <x:c r="F34" s="127" t="str">
        <x:f>IF($E34&lt;&gt;1,"",VLOOKUP($C34,$A$14:$F$18,4,FALSE)+ROUND((VLOOKUP($C34,$A$14:$F$18,5,FALSE)-VLOOKUP($C34,$A$14:$F$18,4,FALSE)+1)*($M34-1)/MAX(1,$L34),0))</x:f>
      </x:c>
      <x:c r="G34" s="127" t="str">
        <x:f>IF($E34&lt;&gt;1,"",MIN(VLOOKUP($C34,$A$14:$F$18,5,FALSE),VLOOKUP($C34,$A$14:$F$18,4,FALSE)+ROUND((VLOOKUP($C34,$A$14:$F$18,5,FALSE)-VLOOKUP($C34,$A$14:$F$18,4,FALSE)+1)*$M34/MAX(1,$L34),0)-1))</x:f>
      </x:c>
      <x:c r="H34" s="118" t="str">
        <x:f>IF($E34&lt;&gt;1,"",MAX(1,$G34-$F34+1))</x:f>
      </x:c>
      <x:c r="I34" s="118" t="str"/>
      <x:c r="J34" s="118" t="str">
        <x:v>Não iniciado</x:v>
      </x:c>
      <x:c r="K34" s="118" t="str"/>
      <x:c r="L34" s="118" t="n">
        <x:f>COUNTIFS($C$22:$C$100,$C34,$E$22:$E$100,1)</x:f>
        <x:v>0</x:v>
      </x:c>
      <x:c r="M34" s="118" t="str">
        <x:f>IF($E34=1,COUNTIFS($C$22:C34,$C34,$E$22:E34,1),"")</x:f>
      </x:c>
      <x:c r="N34" s="131" t="str">
        <x:f>IF($E34&lt;&gt;1,"",IF(AND($F34&lt;=N$21,$G34&gt;=N$20),"■",""))</x:f>
      </x:c>
      <x:c r="O34" s="131" t="str">
        <x:f>IF($E34&lt;&gt;1,"",IF(AND($F34&lt;=O$21,$G34&gt;=O$20),"■",""))</x:f>
      </x:c>
      <x:c r="P34" s="131" t="str">
        <x:f>IF($E34&lt;&gt;1,"",IF(AND($F34&lt;=P$21,$G34&gt;=P$20),"■",""))</x:f>
      </x:c>
      <x:c r="Q34" s="131" t="str">
        <x:f>IF($E34&lt;&gt;1,"",IF(AND($F34&lt;=Q$21,$G34&gt;=Q$20),"■",""))</x:f>
      </x:c>
      <x:c r="R34" s="131" t="str">
        <x:f>IF($E34&lt;&gt;1,"",IF(AND($F34&lt;=R$21,$G34&gt;=R$20),"■",""))</x:f>
      </x:c>
      <x:c r="S34" s="131" t="str">
        <x:f>IF($E34&lt;&gt;1,"",IF(AND($F34&lt;=S$21,$G34&gt;=S$20),"■",""))</x:f>
      </x:c>
      <x:c r="T34" s="131" t="str">
        <x:f>IF($E34&lt;&gt;1,"",IF(AND($F34&lt;=T$21,$G34&gt;=T$20),"■",""))</x:f>
      </x:c>
      <x:c r="U34" s="131" t="str">
        <x:f>IF($E34&lt;&gt;1,"",IF(AND($F34&lt;=U$21,$G34&gt;=U$20),"■",""))</x:f>
      </x:c>
      <x:c r="V34" s="131" t="str">
        <x:f>IF($E34&lt;&gt;1,"",IF(AND($F34&lt;=V$21,$G34&gt;=V$20),"■",""))</x:f>
      </x:c>
      <x:c r="W34" s="131" t="str">
        <x:f>IF($E34&lt;&gt;1,"",IF(AND($F34&lt;=W$21,$G34&gt;=W$20),"■",""))</x:f>
      </x:c>
      <x:c r="X34" s="131" t="str">
        <x:f>IF($E34&lt;&gt;1,"",IF(AND($F34&lt;=X$21,$G34&gt;=X$20),"■",""))</x:f>
      </x:c>
      <x:c r="Y34" s="131" t="str">
        <x:f>IF($E34&lt;&gt;1,"",IF(AND($F34&lt;=Y$21,$G34&gt;=Y$20),"■",""))</x:f>
      </x:c>
    </x:row>
    <x:row r="35">
      <x:c r="A35" s="118" t="n">
        <x:f>ROW()-21</x:f>
        <x:v>14</x:v>
      </x:c>
      <x:c r="B35" s="118" t="str">
        <x:f>Mapa_Selecao!A17</x:f>
        <x:v>G2_NECESS</x:v>
      </x:c>
      <x:c r="C35" s="118" t="str">
        <x:f>Mapa_Selecao!B17</x:f>
        <x:v>Gate 2 — Estratégia e Requisitos</x:v>
      </x:c>
      <x:c r="D35" s="118" t="str">
        <x:f>Mapa_Selecao!C17</x:f>
        <x:v>Lista de necessidades do usuário</x:v>
      </x:c>
      <x:c r="E35" s="118" t="n">
        <x:f>Mapa_Selecao!G17</x:f>
        <x:v>0</x:v>
      </x:c>
      <x:c r="F35" s="127" t="str">
        <x:f>IF($E35&lt;&gt;1,"",VLOOKUP($C35,$A$14:$F$18,4,FALSE)+ROUND((VLOOKUP($C35,$A$14:$F$18,5,FALSE)-VLOOKUP($C35,$A$14:$F$18,4,FALSE)+1)*($M35-1)/MAX(1,$L35),0))</x:f>
      </x:c>
      <x:c r="G35" s="127" t="str">
        <x:f>IF($E35&lt;&gt;1,"",MIN(VLOOKUP($C35,$A$14:$F$18,5,FALSE),VLOOKUP($C35,$A$14:$F$18,4,FALSE)+ROUND((VLOOKUP($C35,$A$14:$F$18,5,FALSE)-VLOOKUP($C35,$A$14:$F$18,4,FALSE)+1)*$M35/MAX(1,$L35),0)-1))</x:f>
      </x:c>
      <x:c r="H35" s="118" t="str">
        <x:f>IF($E35&lt;&gt;1,"",MAX(1,$G35-$F35+1))</x:f>
      </x:c>
      <x:c r="I35" s="118" t="str"/>
      <x:c r="J35" s="118" t="str">
        <x:v>Não iniciado</x:v>
      </x:c>
      <x:c r="K35" s="118" t="str"/>
      <x:c r="L35" s="118" t="n">
        <x:f>COUNTIFS($C$22:$C$100,$C35,$E$22:$E$100,1)</x:f>
        <x:v>0</x:v>
      </x:c>
      <x:c r="M35" s="118" t="str">
        <x:f>IF($E35=1,COUNTIFS($C$22:C35,$C35,$E$22:E35,1),"")</x:f>
      </x:c>
      <x:c r="N35" s="131" t="str">
        <x:f>IF($E35&lt;&gt;1,"",IF(AND($F35&lt;=N$21,$G35&gt;=N$20),"■",""))</x:f>
      </x:c>
      <x:c r="O35" s="131" t="str">
        <x:f>IF($E35&lt;&gt;1,"",IF(AND($F35&lt;=O$21,$G35&gt;=O$20),"■",""))</x:f>
      </x:c>
      <x:c r="P35" s="131" t="str">
        <x:f>IF($E35&lt;&gt;1,"",IF(AND($F35&lt;=P$21,$G35&gt;=P$20),"■",""))</x:f>
      </x:c>
      <x:c r="Q35" s="131" t="str">
        <x:f>IF($E35&lt;&gt;1,"",IF(AND($F35&lt;=Q$21,$G35&gt;=Q$20),"■",""))</x:f>
      </x:c>
      <x:c r="R35" s="131" t="str">
        <x:f>IF($E35&lt;&gt;1,"",IF(AND($F35&lt;=R$21,$G35&gt;=R$20),"■",""))</x:f>
      </x:c>
      <x:c r="S35" s="131" t="str">
        <x:f>IF($E35&lt;&gt;1,"",IF(AND($F35&lt;=S$21,$G35&gt;=S$20),"■",""))</x:f>
      </x:c>
      <x:c r="T35" s="131" t="str">
        <x:f>IF($E35&lt;&gt;1,"",IF(AND($F35&lt;=T$21,$G35&gt;=T$20),"■",""))</x:f>
      </x:c>
      <x:c r="U35" s="131" t="str">
        <x:f>IF($E35&lt;&gt;1,"",IF(AND($F35&lt;=U$21,$G35&gt;=U$20),"■",""))</x:f>
      </x:c>
      <x:c r="V35" s="131" t="str">
        <x:f>IF($E35&lt;&gt;1,"",IF(AND($F35&lt;=V$21,$G35&gt;=V$20),"■",""))</x:f>
      </x:c>
      <x:c r="W35" s="131" t="str">
        <x:f>IF($E35&lt;&gt;1,"",IF(AND($F35&lt;=W$21,$G35&gt;=W$20),"■",""))</x:f>
      </x:c>
      <x:c r="X35" s="131" t="str">
        <x:f>IF($E35&lt;&gt;1,"",IF(AND($F35&lt;=X$21,$G35&gt;=X$20),"■",""))</x:f>
      </x:c>
      <x:c r="Y35" s="131" t="str">
        <x:f>IF($E35&lt;&gt;1,"",IF(AND($F35&lt;=Y$21,$G35&gt;=Y$20),"■",""))</x:f>
      </x:c>
    </x:row>
    <x:row r="36">
      <x:c r="A36" s="118" t="n">
        <x:f>ROW()-21</x:f>
        <x:v>15</x:v>
      </x:c>
      <x:c r="B36" s="118" t="str">
        <x:f>Mapa_Selecao!A18</x:f>
        <x:v>G2_PRIOR</x:v>
      </x:c>
      <x:c r="C36" s="118" t="str">
        <x:f>Mapa_Selecao!B18</x:f>
        <x:v>Gate 2 — Estratégia e Requisitos</x:v>
      </x:c>
      <x:c r="D36" s="118" t="str">
        <x:f>Mapa_Selecao!C18</x:f>
        <x:v>Priorização de necessidades</x:v>
      </x:c>
      <x:c r="E36" s="118" t="n">
        <x:f>Mapa_Selecao!G18</x:f>
        <x:v>0</x:v>
      </x:c>
      <x:c r="F36" s="127" t="str">
        <x:f>IF($E36&lt;&gt;1,"",VLOOKUP($C36,$A$14:$F$18,4,FALSE)+ROUND((VLOOKUP($C36,$A$14:$F$18,5,FALSE)-VLOOKUP($C36,$A$14:$F$18,4,FALSE)+1)*($M36-1)/MAX(1,$L36),0))</x:f>
      </x:c>
      <x:c r="G36" s="127" t="str">
        <x:f>IF($E36&lt;&gt;1,"",MIN(VLOOKUP($C36,$A$14:$F$18,5,FALSE),VLOOKUP($C36,$A$14:$F$18,4,FALSE)+ROUND((VLOOKUP($C36,$A$14:$F$18,5,FALSE)-VLOOKUP($C36,$A$14:$F$18,4,FALSE)+1)*$M36/MAX(1,$L36),0)-1))</x:f>
      </x:c>
      <x:c r="H36" s="118" t="str">
        <x:f>IF($E36&lt;&gt;1,"",MAX(1,$G36-$F36+1))</x:f>
      </x:c>
      <x:c r="I36" s="118" t="str"/>
      <x:c r="J36" s="118" t="str">
        <x:v>Não iniciado</x:v>
      </x:c>
      <x:c r="K36" s="118" t="str"/>
      <x:c r="L36" s="118" t="n">
        <x:f>COUNTIFS($C$22:$C$100,$C36,$E$22:$E$100,1)</x:f>
        <x:v>0</x:v>
      </x:c>
      <x:c r="M36" s="118" t="str">
        <x:f>IF($E36=1,COUNTIFS($C$22:C36,$C36,$E$22:E36,1),"")</x:f>
      </x:c>
      <x:c r="N36" s="131" t="str">
        <x:f>IF($E36&lt;&gt;1,"",IF(AND($F36&lt;=N$21,$G36&gt;=N$20),"■",""))</x:f>
      </x:c>
      <x:c r="O36" s="131" t="str">
        <x:f>IF($E36&lt;&gt;1,"",IF(AND($F36&lt;=O$21,$G36&gt;=O$20),"■",""))</x:f>
      </x:c>
      <x:c r="P36" s="131" t="str">
        <x:f>IF($E36&lt;&gt;1,"",IF(AND($F36&lt;=P$21,$G36&gt;=P$20),"■",""))</x:f>
      </x:c>
      <x:c r="Q36" s="131" t="str">
        <x:f>IF($E36&lt;&gt;1,"",IF(AND($F36&lt;=Q$21,$G36&gt;=Q$20),"■",""))</x:f>
      </x:c>
      <x:c r="R36" s="131" t="str">
        <x:f>IF($E36&lt;&gt;1,"",IF(AND($F36&lt;=R$21,$G36&gt;=R$20),"■",""))</x:f>
      </x:c>
      <x:c r="S36" s="131" t="str">
        <x:f>IF($E36&lt;&gt;1,"",IF(AND($F36&lt;=S$21,$G36&gt;=S$20),"■",""))</x:f>
      </x:c>
      <x:c r="T36" s="131" t="str">
        <x:f>IF($E36&lt;&gt;1,"",IF(AND($F36&lt;=T$21,$G36&gt;=T$20),"■",""))</x:f>
      </x:c>
      <x:c r="U36" s="131" t="str">
        <x:f>IF($E36&lt;&gt;1,"",IF(AND($F36&lt;=U$21,$G36&gt;=U$20),"■",""))</x:f>
      </x:c>
      <x:c r="V36" s="131" t="str">
        <x:f>IF($E36&lt;&gt;1,"",IF(AND($F36&lt;=V$21,$G36&gt;=V$20),"■",""))</x:f>
      </x:c>
      <x:c r="W36" s="131" t="str">
        <x:f>IF($E36&lt;&gt;1,"",IF(AND($F36&lt;=W$21,$G36&gt;=W$20),"■",""))</x:f>
      </x:c>
      <x:c r="X36" s="131" t="str">
        <x:f>IF($E36&lt;&gt;1,"",IF(AND($F36&lt;=X$21,$G36&gt;=X$20),"■",""))</x:f>
      </x:c>
      <x:c r="Y36" s="131" t="str">
        <x:f>IF($E36&lt;&gt;1,"",IF(AND($F36&lt;=Y$21,$G36&gt;=Y$20),"■",""))</x:f>
      </x:c>
    </x:row>
    <x:row r="37">
      <x:c r="A37" s="118" t="n">
        <x:f>ROW()-21</x:f>
        <x:v>16</x:v>
      </x:c>
      <x:c r="B37" s="118" t="str">
        <x:f>Mapa_Selecao!A19</x:f>
        <x:v>G2_USO</x:v>
      </x:c>
      <x:c r="C37" s="118" t="str">
        <x:f>Mapa_Selecao!B19</x:f>
        <x:v>Gate 2 — Estratégia e Requisitos</x:v>
      </x:c>
      <x:c r="D37" s="118" t="str">
        <x:f>Mapa_Selecao!C19</x:f>
        <x:v>Uso pretendido preliminar</x:v>
      </x:c>
      <x:c r="E37" s="118" t="n">
        <x:f>Mapa_Selecao!G19</x:f>
        <x:v>0</x:v>
      </x:c>
      <x:c r="F37" s="127" t="str">
        <x:f>IF($E37&lt;&gt;1,"",VLOOKUP($C37,$A$14:$F$18,4,FALSE)+ROUND((VLOOKUP($C37,$A$14:$F$18,5,FALSE)-VLOOKUP($C37,$A$14:$F$18,4,FALSE)+1)*($M37-1)/MAX(1,$L37),0))</x:f>
      </x:c>
      <x:c r="G37" s="127" t="str">
        <x:f>IF($E37&lt;&gt;1,"",MIN(VLOOKUP($C37,$A$14:$F$18,5,FALSE),VLOOKUP($C37,$A$14:$F$18,4,FALSE)+ROUND((VLOOKUP($C37,$A$14:$F$18,5,FALSE)-VLOOKUP($C37,$A$14:$F$18,4,FALSE)+1)*$M37/MAX(1,$L37),0)-1))</x:f>
      </x:c>
      <x:c r="H37" s="118" t="str">
        <x:f>IF($E37&lt;&gt;1,"",MAX(1,$G37-$F37+1))</x:f>
      </x:c>
      <x:c r="I37" s="118" t="str"/>
      <x:c r="J37" s="118" t="str">
        <x:v>Não iniciado</x:v>
      </x:c>
      <x:c r="K37" s="118" t="str"/>
      <x:c r="L37" s="118" t="n">
        <x:f>COUNTIFS($C$22:$C$100,$C37,$E$22:$E$100,1)</x:f>
        <x:v>0</x:v>
      </x:c>
      <x:c r="M37" s="118" t="str">
        <x:f>IF($E37=1,COUNTIFS($C$22:C37,$C37,$E$22:E37,1),"")</x:f>
      </x:c>
      <x:c r="N37" s="131" t="str">
        <x:f>IF($E37&lt;&gt;1,"",IF(AND($F37&lt;=N$21,$G37&gt;=N$20),"■",""))</x:f>
      </x:c>
      <x:c r="O37" s="131" t="str">
        <x:f>IF($E37&lt;&gt;1,"",IF(AND($F37&lt;=O$21,$G37&gt;=O$20),"■",""))</x:f>
      </x:c>
      <x:c r="P37" s="131" t="str">
        <x:f>IF($E37&lt;&gt;1,"",IF(AND($F37&lt;=P$21,$G37&gt;=P$20),"■",""))</x:f>
      </x:c>
      <x:c r="Q37" s="131" t="str">
        <x:f>IF($E37&lt;&gt;1,"",IF(AND($F37&lt;=Q$21,$G37&gt;=Q$20),"■",""))</x:f>
      </x:c>
      <x:c r="R37" s="131" t="str">
        <x:f>IF($E37&lt;&gt;1,"",IF(AND($F37&lt;=R$21,$G37&gt;=R$20),"■",""))</x:f>
      </x:c>
      <x:c r="S37" s="131" t="str">
        <x:f>IF($E37&lt;&gt;1,"",IF(AND($F37&lt;=S$21,$G37&gt;=S$20),"■",""))</x:f>
      </x:c>
      <x:c r="T37" s="131" t="str">
        <x:f>IF($E37&lt;&gt;1,"",IF(AND($F37&lt;=T$21,$G37&gt;=T$20),"■",""))</x:f>
      </x:c>
      <x:c r="U37" s="131" t="str">
        <x:f>IF($E37&lt;&gt;1,"",IF(AND($F37&lt;=U$21,$G37&gt;=U$20),"■",""))</x:f>
      </x:c>
      <x:c r="V37" s="131" t="str">
        <x:f>IF($E37&lt;&gt;1,"",IF(AND($F37&lt;=V$21,$G37&gt;=V$20),"■",""))</x:f>
      </x:c>
      <x:c r="W37" s="131" t="str">
        <x:f>IF($E37&lt;&gt;1,"",IF(AND($F37&lt;=W$21,$G37&gt;=W$20),"■",""))</x:f>
      </x:c>
      <x:c r="X37" s="131" t="str">
        <x:f>IF($E37&lt;&gt;1,"",IF(AND($F37&lt;=X$21,$G37&gt;=X$20),"■",""))</x:f>
      </x:c>
      <x:c r="Y37" s="131" t="str">
        <x:f>IF($E37&lt;&gt;1,"",IF(AND($F37&lt;=Y$21,$G37&gt;=Y$20),"■",""))</x:f>
      </x:c>
    </x:row>
    <x:row r="38">
      <x:c r="A38" s="118" t="n">
        <x:f>ROW()-21</x:f>
        <x:v>17</x:v>
      </x:c>
      <x:c r="B38" s="118" t="str">
        <x:f>Mapa_Selecao!A20</x:f>
        <x:v>G2_USERAMB</x:v>
      </x:c>
      <x:c r="C38" s="118" t="str">
        <x:f>Mapa_Selecao!B20</x:f>
        <x:v>Gate 2 — Estratégia e Requisitos</x:v>
      </x:c>
      <x:c r="D38" s="118" t="str">
        <x:f>Mapa_Selecao!C20</x:f>
        <x:v>Perfil de usuário e ambiente</x:v>
      </x:c>
      <x:c r="E38" s="118" t="n">
        <x:f>Mapa_Selecao!G20</x:f>
        <x:v>0</x:v>
      </x:c>
      <x:c r="F38" s="127" t="str">
        <x:f>IF($E38&lt;&gt;1,"",VLOOKUP($C38,$A$14:$F$18,4,FALSE)+ROUND((VLOOKUP($C38,$A$14:$F$18,5,FALSE)-VLOOKUP($C38,$A$14:$F$18,4,FALSE)+1)*($M38-1)/MAX(1,$L38),0))</x:f>
      </x:c>
      <x:c r="G38" s="127" t="str">
        <x:f>IF($E38&lt;&gt;1,"",MIN(VLOOKUP($C38,$A$14:$F$18,5,FALSE),VLOOKUP($C38,$A$14:$F$18,4,FALSE)+ROUND((VLOOKUP($C38,$A$14:$F$18,5,FALSE)-VLOOKUP($C38,$A$14:$F$18,4,FALSE)+1)*$M38/MAX(1,$L38),0)-1))</x:f>
      </x:c>
      <x:c r="H38" s="118" t="str">
        <x:f>IF($E38&lt;&gt;1,"",MAX(1,$G38-$F38+1))</x:f>
      </x:c>
      <x:c r="I38" s="118" t="str"/>
      <x:c r="J38" s="118" t="str">
        <x:v>Não iniciado</x:v>
      </x:c>
      <x:c r="K38" s="118" t="str"/>
      <x:c r="L38" s="118" t="n">
        <x:f>COUNTIFS($C$22:$C$100,$C38,$E$22:$E$100,1)</x:f>
        <x:v>0</x:v>
      </x:c>
      <x:c r="M38" s="118" t="str">
        <x:f>IF($E38=1,COUNTIFS($C$22:C38,$C38,$E$22:E38,1),"")</x:f>
      </x:c>
      <x:c r="N38" s="131" t="str">
        <x:f>IF($E38&lt;&gt;1,"",IF(AND($F38&lt;=N$21,$G38&gt;=N$20),"■",""))</x:f>
      </x:c>
      <x:c r="O38" s="131" t="str">
        <x:f>IF($E38&lt;&gt;1,"",IF(AND($F38&lt;=O$21,$G38&gt;=O$20),"■",""))</x:f>
      </x:c>
      <x:c r="P38" s="131" t="str">
        <x:f>IF($E38&lt;&gt;1,"",IF(AND($F38&lt;=P$21,$G38&gt;=P$20),"■",""))</x:f>
      </x:c>
      <x:c r="Q38" s="131" t="str">
        <x:f>IF($E38&lt;&gt;1,"",IF(AND($F38&lt;=Q$21,$G38&gt;=Q$20),"■",""))</x:f>
      </x:c>
      <x:c r="R38" s="131" t="str">
        <x:f>IF($E38&lt;&gt;1,"",IF(AND($F38&lt;=R$21,$G38&gt;=R$20),"■",""))</x:f>
      </x:c>
      <x:c r="S38" s="131" t="str">
        <x:f>IF($E38&lt;&gt;1,"",IF(AND($F38&lt;=S$21,$G38&gt;=S$20),"■",""))</x:f>
      </x:c>
      <x:c r="T38" s="131" t="str">
        <x:f>IF($E38&lt;&gt;1,"",IF(AND($F38&lt;=T$21,$G38&gt;=T$20),"■",""))</x:f>
      </x:c>
      <x:c r="U38" s="131" t="str">
        <x:f>IF($E38&lt;&gt;1,"",IF(AND($F38&lt;=U$21,$G38&gt;=U$20),"■",""))</x:f>
      </x:c>
      <x:c r="V38" s="131" t="str">
        <x:f>IF($E38&lt;&gt;1,"",IF(AND($F38&lt;=V$21,$G38&gt;=V$20),"■",""))</x:f>
      </x:c>
      <x:c r="W38" s="131" t="str">
        <x:f>IF($E38&lt;&gt;1,"",IF(AND($F38&lt;=W$21,$G38&gt;=W$20),"■",""))</x:f>
      </x:c>
      <x:c r="X38" s="131" t="str">
        <x:f>IF($E38&lt;&gt;1,"",IF(AND($F38&lt;=X$21,$G38&gt;=X$20),"■",""))</x:f>
      </x:c>
      <x:c r="Y38" s="131" t="str">
        <x:f>IF($E38&lt;&gt;1,"",IF(AND($F38&lt;=Y$21,$G38&gt;=Y$20),"■",""))</x:f>
      </x:c>
    </x:row>
    <x:row r="39">
      <x:c r="A39" s="118" t="n">
        <x:f>ROW()-21</x:f>
        <x:v>18</x:v>
      </x:c>
      <x:c r="B39" s="118" t="str">
        <x:f>Mapa_Selecao!A21</x:f>
        <x:v>G2_QFD</x:v>
      </x:c>
      <x:c r="C39" s="118" t="str">
        <x:f>Mapa_Selecao!B21</x:f>
        <x:v>Gate 2 — Estratégia e Requisitos</x:v>
      </x:c>
      <x:c r="D39" s="118" t="str">
        <x:f>Mapa_Selecao!C21</x:f>
        <x:v>QFD conceitual — nível 1</x:v>
      </x:c>
      <x:c r="E39" s="118" t="n">
        <x:f>Mapa_Selecao!G21</x:f>
        <x:v>0</x:v>
      </x:c>
      <x:c r="F39" s="127" t="str">
        <x:f>IF($E39&lt;&gt;1,"",VLOOKUP($C39,$A$14:$F$18,4,FALSE)+ROUND((VLOOKUP($C39,$A$14:$F$18,5,FALSE)-VLOOKUP($C39,$A$14:$F$18,4,FALSE)+1)*($M39-1)/MAX(1,$L39),0))</x:f>
      </x:c>
      <x:c r="G39" s="127" t="str">
        <x:f>IF($E39&lt;&gt;1,"",MIN(VLOOKUP($C39,$A$14:$F$18,5,FALSE),VLOOKUP($C39,$A$14:$F$18,4,FALSE)+ROUND((VLOOKUP($C39,$A$14:$F$18,5,FALSE)-VLOOKUP($C39,$A$14:$F$18,4,FALSE)+1)*$M39/MAX(1,$L39),0)-1))</x:f>
      </x:c>
      <x:c r="H39" s="118" t="str">
        <x:f>IF($E39&lt;&gt;1,"",MAX(1,$G39-$F39+1))</x:f>
      </x:c>
      <x:c r="I39" s="118" t="str"/>
      <x:c r="J39" s="118" t="str">
        <x:v>Não iniciado</x:v>
      </x:c>
      <x:c r="K39" s="118" t="str"/>
      <x:c r="L39" s="118" t="n">
        <x:f>COUNTIFS($C$22:$C$100,$C39,$E$22:$E$100,1)</x:f>
        <x:v>0</x:v>
      </x:c>
      <x:c r="M39" s="118" t="str">
        <x:f>IF($E39=1,COUNTIFS($C$22:C39,$C39,$E$22:E39,1),"")</x:f>
      </x:c>
      <x:c r="N39" s="131" t="str">
        <x:f>IF($E39&lt;&gt;1,"",IF(AND($F39&lt;=N$21,$G39&gt;=N$20),"■",""))</x:f>
      </x:c>
      <x:c r="O39" s="131" t="str">
        <x:f>IF($E39&lt;&gt;1,"",IF(AND($F39&lt;=O$21,$G39&gt;=O$20),"■",""))</x:f>
      </x:c>
      <x:c r="P39" s="131" t="str">
        <x:f>IF($E39&lt;&gt;1,"",IF(AND($F39&lt;=P$21,$G39&gt;=P$20),"■",""))</x:f>
      </x:c>
      <x:c r="Q39" s="131" t="str">
        <x:f>IF($E39&lt;&gt;1,"",IF(AND($F39&lt;=Q$21,$G39&gt;=Q$20),"■",""))</x:f>
      </x:c>
      <x:c r="R39" s="131" t="str">
        <x:f>IF($E39&lt;&gt;1,"",IF(AND($F39&lt;=R$21,$G39&gt;=R$20),"■",""))</x:f>
      </x:c>
      <x:c r="S39" s="131" t="str">
        <x:f>IF($E39&lt;&gt;1,"",IF(AND($F39&lt;=S$21,$G39&gt;=S$20),"■",""))</x:f>
      </x:c>
      <x:c r="T39" s="131" t="str">
        <x:f>IF($E39&lt;&gt;1,"",IF(AND($F39&lt;=T$21,$G39&gt;=T$20),"■",""))</x:f>
      </x:c>
      <x:c r="U39" s="131" t="str">
        <x:f>IF($E39&lt;&gt;1,"",IF(AND($F39&lt;=U$21,$G39&gt;=U$20),"■",""))</x:f>
      </x:c>
      <x:c r="V39" s="131" t="str">
        <x:f>IF($E39&lt;&gt;1,"",IF(AND($F39&lt;=V$21,$G39&gt;=V$20),"■",""))</x:f>
      </x:c>
      <x:c r="W39" s="131" t="str">
        <x:f>IF($E39&lt;&gt;1,"",IF(AND($F39&lt;=W$21,$G39&gt;=W$20),"■",""))</x:f>
      </x:c>
      <x:c r="X39" s="131" t="str">
        <x:f>IF($E39&lt;&gt;1,"",IF(AND($F39&lt;=X$21,$G39&gt;=X$20),"■",""))</x:f>
      </x:c>
      <x:c r="Y39" s="131" t="str">
        <x:f>IF($E39&lt;&gt;1,"",IF(AND($F39&lt;=Y$21,$G39&gt;=Y$20),"■",""))</x:f>
      </x:c>
    </x:row>
    <x:row r="40">
      <x:c r="A40" s="118" t="n">
        <x:f>ROW()-21</x:f>
        <x:v>19</x:v>
      </x:c>
      <x:c r="B40" s="118" t="str">
        <x:f>Mapa_Selecao!A22</x:f>
        <x:v>G2_CTQ</x:v>
      </x:c>
      <x:c r="C40" s="118" t="str">
        <x:f>Mapa_Selecao!B22</x:f>
        <x:v>Gate 2 — Estratégia e Requisitos</x:v>
      </x:c>
      <x:c r="D40" s="118" t="str">
        <x:f>Mapa_Selecao!C22</x:f>
        <x:v>CTQ preliminar</x:v>
      </x:c>
      <x:c r="E40" s="118" t="n">
        <x:f>Mapa_Selecao!G22</x:f>
        <x:v>0</x:v>
      </x:c>
      <x:c r="F40" s="127" t="str">
        <x:f>IF($E40&lt;&gt;1,"",VLOOKUP($C40,$A$14:$F$18,4,FALSE)+ROUND((VLOOKUP($C40,$A$14:$F$18,5,FALSE)-VLOOKUP($C40,$A$14:$F$18,4,FALSE)+1)*($M40-1)/MAX(1,$L40),0))</x:f>
      </x:c>
      <x:c r="G40" s="127" t="str">
        <x:f>IF($E40&lt;&gt;1,"",MIN(VLOOKUP($C40,$A$14:$F$18,5,FALSE),VLOOKUP($C40,$A$14:$F$18,4,FALSE)+ROUND((VLOOKUP($C40,$A$14:$F$18,5,FALSE)-VLOOKUP($C40,$A$14:$F$18,4,FALSE)+1)*$M40/MAX(1,$L40),0)-1))</x:f>
      </x:c>
      <x:c r="H40" s="118" t="str">
        <x:f>IF($E40&lt;&gt;1,"",MAX(1,$G40-$F40+1))</x:f>
      </x:c>
      <x:c r="I40" s="118" t="str"/>
      <x:c r="J40" s="118" t="str">
        <x:v>Não iniciado</x:v>
      </x:c>
      <x:c r="K40" s="118" t="str"/>
      <x:c r="L40" s="118" t="n">
        <x:f>COUNTIFS($C$22:$C$100,$C40,$E$22:$E$100,1)</x:f>
        <x:v>0</x:v>
      </x:c>
      <x:c r="M40" s="118" t="str">
        <x:f>IF($E40=1,COUNTIFS($C$22:C40,$C40,$E$22:E40,1),"")</x:f>
      </x:c>
      <x:c r="N40" s="131" t="str">
        <x:f>IF($E40&lt;&gt;1,"",IF(AND($F40&lt;=N$21,$G40&gt;=N$20),"■",""))</x:f>
      </x:c>
      <x:c r="O40" s="131" t="str">
        <x:f>IF($E40&lt;&gt;1,"",IF(AND($F40&lt;=O$21,$G40&gt;=O$20),"■",""))</x:f>
      </x:c>
      <x:c r="P40" s="131" t="str">
        <x:f>IF($E40&lt;&gt;1,"",IF(AND($F40&lt;=P$21,$G40&gt;=P$20),"■",""))</x:f>
      </x:c>
      <x:c r="Q40" s="131" t="str">
        <x:f>IF($E40&lt;&gt;1,"",IF(AND($F40&lt;=Q$21,$G40&gt;=Q$20),"■",""))</x:f>
      </x:c>
      <x:c r="R40" s="131" t="str">
        <x:f>IF($E40&lt;&gt;1,"",IF(AND($F40&lt;=R$21,$G40&gt;=R$20),"■",""))</x:f>
      </x:c>
      <x:c r="S40" s="131" t="str">
        <x:f>IF($E40&lt;&gt;1,"",IF(AND($F40&lt;=S$21,$G40&gt;=S$20),"■",""))</x:f>
      </x:c>
      <x:c r="T40" s="131" t="str">
        <x:f>IF($E40&lt;&gt;1,"",IF(AND($F40&lt;=T$21,$G40&gt;=T$20),"■",""))</x:f>
      </x:c>
      <x:c r="U40" s="131" t="str">
        <x:f>IF($E40&lt;&gt;1,"",IF(AND($F40&lt;=U$21,$G40&gt;=U$20),"■",""))</x:f>
      </x:c>
      <x:c r="V40" s="131" t="str">
        <x:f>IF($E40&lt;&gt;1,"",IF(AND($F40&lt;=V$21,$G40&gt;=V$20),"■",""))</x:f>
      </x:c>
      <x:c r="W40" s="131" t="str">
        <x:f>IF($E40&lt;&gt;1,"",IF(AND($F40&lt;=W$21,$G40&gt;=W$20),"■",""))</x:f>
      </x:c>
      <x:c r="X40" s="131" t="str">
        <x:f>IF($E40&lt;&gt;1,"",IF(AND($F40&lt;=X$21,$G40&gt;=X$20),"■",""))</x:f>
      </x:c>
      <x:c r="Y40" s="131" t="str">
        <x:f>IF($E40&lt;&gt;1,"",IF(AND($F40&lt;=Y$21,$G40&gt;=Y$20),"■",""))</x:f>
      </x:c>
    </x:row>
    <x:row r="41">
      <x:c r="A41" s="118" t="n">
        <x:f>ROW()-21</x:f>
        <x:v>20</x:v>
      </x:c>
      <x:c r="B41" s="118" t="str">
        <x:f>Mapa_Selecao!A23</x:f>
        <x:v>G2_OEM</x:v>
      </x:c>
      <x:c r="C41" s="118" t="str">
        <x:f>Mapa_Selecao!B23</x:f>
        <x:v>Gate 2 — Estratégia e Requisitos</x:v>
      </x:c>
      <x:c r="D41" s="118" t="str">
        <x:f>Mapa_Selecao!C23</x:f>
        <x:v>Triagem OEM / produto de mercado</x:v>
      </x:c>
      <x:c r="E41" s="118" t="n">
        <x:f>Mapa_Selecao!G23</x:f>
        <x:v>0</x:v>
      </x:c>
      <x:c r="F41" s="127" t="str">
        <x:f>IF($E41&lt;&gt;1,"",VLOOKUP($C41,$A$14:$F$18,4,FALSE)+ROUND((VLOOKUP($C41,$A$14:$F$18,5,FALSE)-VLOOKUP($C41,$A$14:$F$18,4,FALSE)+1)*($M41-1)/MAX(1,$L41),0))</x:f>
      </x:c>
      <x:c r="G41" s="127" t="str">
        <x:f>IF($E41&lt;&gt;1,"",MIN(VLOOKUP($C41,$A$14:$F$18,5,FALSE),VLOOKUP($C41,$A$14:$F$18,4,FALSE)+ROUND((VLOOKUP($C41,$A$14:$F$18,5,FALSE)-VLOOKUP($C41,$A$14:$F$18,4,FALSE)+1)*$M41/MAX(1,$L41),0)-1))</x:f>
      </x:c>
      <x:c r="H41" s="118" t="str">
        <x:f>IF($E41&lt;&gt;1,"",MAX(1,$G41-$F41+1))</x:f>
      </x:c>
      <x:c r="I41" s="118" t="str"/>
      <x:c r="J41" s="118" t="str">
        <x:v>Não iniciado</x:v>
      </x:c>
      <x:c r="K41" s="118" t="str"/>
      <x:c r="L41" s="118" t="n">
        <x:f>COUNTIFS($C$22:$C$100,$C41,$E$22:$E$100,1)</x:f>
        <x:v>0</x:v>
      </x:c>
      <x:c r="M41" s="118" t="str">
        <x:f>IF($E41=1,COUNTIFS($C$22:C41,$C41,$E$22:E41,1),"")</x:f>
      </x:c>
      <x:c r="N41" s="131" t="str">
        <x:f>IF($E41&lt;&gt;1,"",IF(AND($F41&lt;=N$21,$G41&gt;=N$20),"■",""))</x:f>
      </x:c>
      <x:c r="O41" s="131" t="str">
        <x:f>IF($E41&lt;&gt;1,"",IF(AND($F41&lt;=O$21,$G41&gt;=O$20),"■",""))</x:f>
      </x:c>
      <x:c r="P41" s="131" t="str">
        <x:f>IF($E41&lt;&gt;1,"",IF(AND($F41&lt;=P$21,$G41&gt;=P$20),"■",""))</x:f>
      </x:c>
      <x:c r="Q41" s="131" t="str">
        <x:f>IF($E41&lt;&gt;1,"",IF(AND($F41&lt;=Q$21,$G41&gt;=Q$20),"■",""))</x:f>
      </x:c>
      <x:c r="R41" s="131" t="str">
        <x:f>IF($E41&lt;&gt;1,"",IF(AND($F41&lt;=R$21,$G41&gt;=R$20),"■",""))</x:f>
      </x:c>
      <x:c r="S41" s="131" t="str">
        <x:f>IF($E41&lt;&gt;1,"",IF(AND($F41&lt;=S$21,$G41&gt;=S$20),"■",""))</x:f>
      </x:c>
      <x:c r="T41" s="131" t="str">
        <x:f>IF($E41&lt;&gt;1,"",IF(AND($F41&lt;=T$21,$G41&gt;=T$20),"■",""))</x:f>
      </x:c>
      <x:c r="U41" s="131" t="str">
        <x:f>IF($E41&lt;&gt;1,"",IF(AND($F41&lt;=U$21,$G41&gt;=U$20),"■",""))</x:f>
      </x:c>
      <x:c r="V41" s="131" t="str">
        <x:f>IF($E41&lt;&gt;1,"",IF(AND($F41&lt;=V$21,$G41&gt;=V$20),"■",""))</x:f>
      </x:c>
      <x:c r="W41" s="131" t="str">
        <x:f>IF($E41&lt;&gt;1,"",IF(AND($F41&lt;=W$21,$G41&gt;=W$20),"■",""))</x:f>
      </x:c>
      <x:c r="X41" s="131" t="str">
        <x:f>IF($E41&lt;&gt;1,"",IF(AND($F41&lt;=X$21,$G41&gt;=X$20),"■",""))</x:f>
      </x:c>
      <x:c r="Y41" s="131" t="str">
        <x:f>IF($E41&lt;&gt;1,"",IF(AND($F41&lt;=Y$21,$G41&gt;=Y$20),"■",""))</x:f>
      </x:c>
    </x:row>
    <x:row r="42">
      <x:c r="A42" s="118" t="n">
        <x:f>ROW()-21</x:f>
        <x:v>21</x:v>
      </x:c>
      <x:c r="B42" s="118" t="str">
        <x:f>Mapa_Selecao!A24</x:f>
        <x:v>G2_FORN</x:v>
      </x:c>
      <x:c r="C42" s="118" t="str">
        <x:f>Mapa_Selecao!B24</x:f>
        <x:v>Gate 2 — Estratégia e Requisitos</x:v>
      </x:c>
      <x:c r="D42" s="118" t="str">
        <x:f>Mapa_Selecao!C24</x:f>
        <x:v>Triagem de fornecedor externo</x:v>
      </x:c>
      <x:c r="E42" s="118" t="n">
        <x:f>Mapa_Selecao!G24</x:f>
        <x:v>0</x:v>
      </x:c>
      <x:c r="F42" s="127" t="str">
        <x:f>IF($E42&lt;&gt;1,"",VLOOKUP($C42,$A$14:$F$18,4,FALSE)+ROUND((VLOOKUP($C42,$A$14:$F$18,5,FALSE)-VLOOKUP($C42,$A$14:$F$18,4,FALSE)+1)*($M42-1)/MAX(1,$L42),0))</x:f>
      </x:c>
      <x:c r="G42" s="127" t="str">
        <x:f>IF($E42&lt;&gt;1,"",MIN(VLOOKUP($C42,$A$14:$F$18,5,FALSE),VLOOKUP($C42,$A$14:$F$18,4,FALSE)+ROUND((VLOOKUP($C42,$A$14:$F$18,5,FALSE)-VLOOKUP($C42,$A$14:$F$18,4,FALSE)+1)*$M42/MAX(1,$L42),0)-1))</x:f>
      </x:c>
      <x:c r="H42" s="118" t="str">
        <x:f>IF($E42&lt;&gt;1,"",MAX(1,$G42-$F42+1))</x:f>
      </x:c>
      <x:c r="I42" s="118" t="str"/>
      <x:c r="J42" s="118" t="str">
        <x:v>Não iniciado</x:v>
      </x:c>
      <x:c r="K42" s="118" t="str"/>
      <x:c r="L42" s="118" t="n">
        <x:f>COUNTIFS($C$22:$C$100,$C42,$E$22:$E$100,1)</x:f>
        <x:v>0</x:v>
      </x:c>
      <x:c r="M42" s="118" t="str">
        <x:f>IF($E42=1,COUNTIFS($C$22:C42,$C42,$E$22:E42,1),"")</x:f>
      </x:c>
      <x:c r="N42" s="131" t="str">
        <x:f>IF($E42&lt;&gt;1,"",IF(AND($F42&lt;=N$21,$G42&gt;=N$20),"■",""))</x:f>
      </x:c>
      <x:c r="O42" s="131" t="str">
        <x:f>IF($E42&lt;&gt;1,"",IF(AND($F42&lt;=O$21,$G42&gt;=O$20),"■",""))</x:f>
      </x:c>
      <x:c r="P42" s="131" t="str">
        <x:f>IF($E42&lt;&gt;1,"",IF(AND($F42&lt;=P$21,$G42&gt;=P$20),"■",""))</x:f>
      </x:c>
      <x:c r="Q42" s="131" t="str">
        <x:f>IF($E42&lt;&gt;1,"",IF(AND($F42&lt;=Q$21,$G42&gt;=Q$20),"■",""))</x:f>
      </x:c>
      <x:c r="R42" s="131" t="str">
        <x:f>IF($E42&lt;&gt;1,"",IF(AND($F42&lt;=R$21,$G42&gt;=R$20),"■",""))</x:f>
      </x:c>
      <x:c r="S42" s="131" t="str">
        <x:f>IF($E42&lt;&gt;1,"",IF(AND($F42&lt;=S$21,$G42&gt;=S$20),"■",""))</x:f>
      </x:c>
      <x:c r="T42" s="131" t="str">
        <x:f>IF($E42&lt;&gt;1,"",IF(AND($F42&lt;=T$21,$G42&gt;=T$20),"■",""))</x:f>
      </x:c>
      <x:c r="U42" s="131" t="str">
        <x:f>IF($E42&lt;&gt;1,"",IF(AND($F42&lt;=U$21,$G42&gt;=U$20),"■",""))</x:f>
      </x:c>
      <x:c r="V42" s="131" t="str">
        <x:f>IF($E42&lt;&gt;1,"",IF(AND($F42&lt;=V$21,$G42&gt;=V$20),"■",""))</x:f>
      </x:c>
      <x:c r="W42" s="131" t="str">
        <x:f>IF($E42&lt;&gt;1,"",IF(AND($F42&lt;=W$21,$G42&gt;=W$20),"■",""))</x:f>
      </x:c>
      <x:c r="X42" s="131" t="str">
        <x:f>IF($E42&lt;&gt;1,"",IF(AND($F42&lt;=X$21,$G42&gt;=X$20),"■",""))</x:f>
      </x:c>
      <x:c r="Y42" s="131" t="str">
        <x:f>IF($E42&lt;&gt;1,"",IF(AND($F42&lt;=Y$21,$G42&gt;=Y$20),"■",""))</x:f>
      </x:c>
    </x:row>
    <x:row r="43">
      <x:c r="A43" s="118" t="n">
        <x:f>ROW()-21</x:f>
        <x:v>22</x:v>
      </x:c>
      <x:c r="B43" s="118" t="str">
        <x:f>Mapa_Selecao!A25</x:f>
        <x:v>G2_CUSTOM</x:v>
      </x:c>
      <x:c r="C43" s="118" t="str">
        <x:f>Mapa_Selecao!B25</x:f>
        <x:v>Gate 2 — Estratégia e Requisitos</x:v>
      </x:c>
      <x:c r="D43" s="118" t="str">
        <x:f>Mapa_Selecao!C25</x:f>
        <x:v>Triagem de customização</x:v>
      </x:c>
      <x:c r="E43" s="118" t="n">
        <x:f>Mapa_Selecao!G25</x:f>
        <x:v>0</x:v>
      </x:c>
      <x:c r="F43" s="127" t="str">
        <x:f>IF($E43&lt;&gt;1,"",VLOOKUP($C43,$A$14:$F$18,4,FALSE)+ROUND((VLOOKUP($C43,$A$14:$F$18,5,FALSE)-VLOOKUP($C43,$A$14:$F$18,4,FALSE)+1)*($M43-1)/MAX(1,$L43),0))</x:f>
      </x:c>
      <x:c r="G43" s="127" t="str">
        <x:f>IF($E43&lt;&gt;1,"",MIN(VLOOKUP($C43,$A$14:$F$18,5,FALSE),VLOOKUP($C43,$A$14:$F$18,4,FALSE)+ROUND((VLOOKUP($C43,$A$14:$F$18,5,FALSE)-VLOOKUP($C43,$A$14:$F$18,4,FALSE)+1)*$M43/MAX(1,$L43),0)-1))</x:f>
      </x:c>
      <x:c r="H43" s="118" t="str">
        <x:f>IF($E43&lt;&gt;1,"",MAX(1,$G43-$F43+1))</x:f>
      </x:c>
      <x:c r="I43" s="118" t="str"/>
      <x:c r="J43" s="118" t="str">
        <x:v>Não iniciado</x:v>
      </x:c>
      <x:c r="K43" s="118" t="str"/>
      <x:c r="L43" s="118" t="n">
        <x:f>COUNTIFS($C$22:$C$100,$C43,$E$22:$E$100,1)</x:f>
        <x:v>0</x:v>
      </x:c>
      <x:c r="M43" s="118" t="str">
        <x:f>IF($E43=1,COUNTIFS($C$22:C43,$C43,$E$22:E43,1),"")</x:f>
      </x:c>
      <x:c r="N43" s="131" t="str">
        <x:f>IF($E43&lt;&gt;1,"",IF(AND($F43&lt;=N$21,$G43&gt;=N$20),"■",""))</x:f>
      </x:c>
      <x:c r="O43" s="131" t="str">
        <x:f>IF($E43&lt;&gt;1,"",IF(AND($F43&lt;=O$21,$G43&gt;=O$20),"■",""))</x:f>
      </x:c>
      <x:c r="P43" s="131" t="str">
        <x:f>IF($E43&lt;&gt;1,"",IF(AND($F43&lt;=P$21,$G43&gt;=P$20),"■",""))</x:f>
      </x:c>
      <x:c r="Q43" s="131" t="str">
        <x:f>IF($E43&lt;&gt;1,"",IF(AND($F43&lt;=Q$21,$G43&gt;=Q$20),"■",""))</x:f>
      </x:c>
      <x:c r="R43" s="131" t="str">
        <x:f>IF($E43&lt;&gt;1,"",IF(AND($F43&lt;=R$21,$G43&gt;=R$20),"■",""))</x:f>
      </x:c>
      <x:c r="S43" s="131" t="str">
        <x:f>IF($E43&lt;&gt;1,"",IF(AND($F43&lt;=S$21,$G43&gt;=S$20),"■",""))</x:f>
      </x:c>
      <x:c r="T43" s="131" t="str">
        <x:f>IF($E43&lt;&gt;1,"",IF(AND($F43&lt;=T$21,$G43&gt;=T$20),"■",""))</x:f>
      </x:c>
      <x:c r="U43" s="131" t="str">
        <x:f>IF($E43&lt;&gt;1,"",IF(AND($F43&lt;=U$21,$G43&gt;=U$20),"■",""))</x:f>
      </x:c>
      <x:c r="V43" s="131" t="str">
        <x:f>IF($E43&lt;&gt;1,"",IF(AND($F43&lt;=V$21,$G43&gt;=V$20),"■",""))</x:f>
      </x:c>
      <x:c r="W43" s="131" t="str">
        <x:f>IF($E43&lt;&gt;1,"",IF(AND($F43&lt;=W$21,$G43&gt;=W$20),"■",""))</x:f>
      </x:c>
      <x:c r="X43" s="131" t="str">
        <x:f>IF($E43&lt;&gt;1,"",IF(AND($F43&lt;=X$21,$G43&gt;=X$20),"■",""))</x:f>
      </x:c>
      <x:c r="Y43" s="131" t="str">
        <x:f>IF($E43&lt;&gt;1,"",IF(AND($F43&lt;=Y$21,$G43&gt;=Y$20),"■",""))</x:f>
      </x:c>
    </x:row>
    <x:row r="44">
      <x:c r="A44" s="118" t="n">
        <x:f>ROW()-21</x:f>
        <x:v>23</x:v>
      </x:c>
      <x:c r="B44" s="118" t="str">
        <x:f>Mapa_Selecao!A26</x:f>
        <x:v>G2_SIMILAR</x:v>
      </x:c>
      <x:c r="C44" s="118" t="str">
        <x:f>Mapa_Selecao!B26</x:f>
        <x:v>Gate 2 — Estratégia e Requisitos</x:v>
      </x:c>
      <x:c r="D44" s="118" t="str">
        <x:f>Mapa_Selecao!C26</x:f>
        <x:v>Triagem de produto similar</x:v>
      </x:c>
      <x:c r="E44" s="118" t="n">
        <x:f>Mapa_Selecao!G26</x:f>
        <x:v>0</x:v>
      </x:c>
      <x:c r="F44" s="127" t="str">
        <x:f>IF($E44&lt;&gt;1,"",VLOOKUP($C44,$A$14:$F$18,4,FALSE)+ROUND((VLOOKUP($C44,$A$14:$F$18,5,FALSE)-VLOOKUP($C44,$A$14:$F$18,4,FALSE)+1)*($M44-1)/MAX(1,$L44),0))</x:f>
      </x:c>
      <x:c r="G44" s="127" t="str">
        <x:f>IF($E44&lt;&gt;1,"",MIN(VLOOKUP($C44,$A$14:$F$18,5,FALSE),VLOOKUP($C44,$A$14:$F$18,4,FALSE)+ROUND((VLOOKUP($C44,$A$14:$F$18,5,FALSE)-VLOOKUP($C44,$A$14:$F$18,4,FALSE)+1)*$M44/MAX(1,$L44),0)-1))</x:f>
      </x:c>
      <x:c r="H44" s="118" t="str">
        <x:f>IF($E44&lt;&gt;1,"",MAX(1,$G44-$F44+1))</x:f>
      </x:c>
      <x:c r="I44" s="118" t="str"/>
      <x:c r="J44" s="118" t="str">
        <x:v>Não iniciado</x:v>
      </x:c>
      <x:c r="K44" s="118" t="str"/>
      <x:c r="L44" s="118" t="n">
        <x:f>COUNTIFS($C$22:$C$100,$C44,$E$22:$E$100,1)</x:f>
        <x:v>0</x:v>
      </x:c>
      <x:c r="M44" s="118" t="str">
        <x:f>IF($E44=1,COUNTIFS($C$22:C44,$C44,$E$22:E44,1),"")</x:f>
      </x:c>
      <x:c r="N44" s="131" t="str">
        <x:f>IF($E44&lt;&gt;1,"",IF(AND($F44&lt;=N$21,$G44&gt;=N$20),"■",""))</x:f>
      </x:c>
      <x:c r="O44" s="131" t="str">
        <x:f>IF($E44&lt;&gt;1,"",IF(AND($F44&lt;=O$21,$G44&gt;=O$20),"■",""))</x:f>
      </x:c>
      <x:c r="P44" s="131" t="str">
        <x:f>IF($E44&lt;&gt;1,"",IF(AND($F44&lt;=P$21,$G44&gt;=P$20),"■",""))</x:f>
      </x:c>
      <x:c r="Q44" s="131" t="str">
        <x:f>IF($E44&lt;&gt;1,"",IF(AND($F44&lt;=Q$21,$G44&gt;=Q$20),"■",""))</x:f>
      </x:c>
      <x:c r="R44" s="131" t="str">
        <x:f>IF($E44&lt;&gt;1,"",IF(AND($F44&lt;=R$21,$G44&gt;=R$20),"■",""))</x:f>
      </x:c>
      <x:c r="S44" s="131" t="str">
        <x:f>IF($E44&lt;&gt;1,"",IF(AND($F44&lt;=S$21,$G44&gt;=S$20),"■",""))</x:f>
      </x:c>
      <x:c r="T44" s="131" t="str">
        <x:f>IF($E44&lt;&gt;1,"",IF(AND($F44&lt;=T$21,$G44&gt;=T$20),"■",""))</x:f>
      </x:c>
      <x:c r="U44" s="131" t="str">
        <x:f>IF($E44&lt;&gt;1,"",IF(AND($F44&lt;=U$21,$G44&gt;=U$20),"■",""))</x:f>
      </x:c>
      <x:c r="V44" s="131" t="str">
        <x:f>IF($E44&lt;&gt;1,"",IF(AND($F44&lt;=V$21,$G44&gt;=V$20),"■",""))</x:f>
      </x:c>
      <x:c r="W44" s="131" t="str">
        <x:f>IF($E44&lt;&gt;1,"",IF(AND($F44&lt;=W$21,$G44&gt;=W$20),"■",""))</x:f>
      </x:c>
      <x:c r="X44" s="131" t="str">
        <x:f>IF($E44&lt;&gt;1,"",IF(AND($F44&lt;=X$21,$G44&gt;=X$20),"■",""))</x:f>
      </x:c>
      <x:c r="Y44" s="131" t="str">
        <x:f>IF($E44&lt;&gt;1,"",IF(AND($F44&lt;=Y$21,$G44&gt;=Y$20),"■",""))</x:f>
      </x:c>
    </x:row>
    <x:row r="45">
      <x:c r="A45" s="118" t="n">
        <x:f>ROW()-21</x:f>
        <x:v>24</x:v>
      </x:c>
      <x:c r="B45" s="118" t="str">
        <x:f>Mapa_Selecao!A27</x:f>
        <x:v>G2_KIT</x:v>
      </x:c>
      <x:c r="C45" s="118" t="str">
        <x:f>Mapa_Selecao!B27</x:f>
        <x:v>Gate 2 — Estratégia e Requisitos</x:v>
      </x:c>
      <x:c r="D45" s="118" t="str">
        <x:f>Mapa_Selecao!C27</x:f>
        <x:v>Triagem de kit ou acessório</x:v>
      </x:c>
      <x:c r="E45" s="118" t="n">
        <x:f>Mapa_Selecao!G27</x:f>
        <x:v>0</x:v>
      </x:c>
      <x:c r="F45" s="127" t="str">
        <x:f>IF($E45&lt;&gt;1,"",VLOOKUP($C45,$A$14:$F$18,4,FALSE)+ROUND((VLOOKUP($C45,$A$14:$F$18,5,FALSE)-VLOOKUP($C45,$A$14:$F$18,4,FALSE)+1)*($M45-1)/MAX(1,$L45),0))</x:f>
      </x:c>
      <x:c r="G45" s="127" t="str">
        <x:f>IF($E45&lt;&gt;1,"",MIN(VLOOKUP($C45,$A$14:$F$18,5,FALSE),VLOOKUP($C45,$A$14:$F$18,4,FALSE)+ROUND((VLOOKUP($C45,$A$14:$F$18,5,FALSE)-VLOOKUP($C45,$A$14:$F$18,4,FALSE)+1)*$M45/MAX(1,$L45),0)-1))</x:f>
      </x:c>
      <x:c r="H45" s="118" t="str">
        <x:f>IF($E45&lt;&gt;1,"",MAX(1,$G45-$F45+1))</x:f>
      </x:c>
      <x:c r="I45" s="118" t="str"/>
      <x:c r="J45" s="118" t="str">
        <x:v>Não iniciado</x:v>
      </x:c>
      <x:c r="K45" s="118" t="str"/>
      <x:c r="L45" s="118" t="n">
        <x:f>COUNTIFS($C$22:$C$100,$C45,$E$22:$E$100,1)</x:f>
        <x:v>0</x:v>
      </x:c>
      <x:c r="M45" s="118" t="str">
        <x:f>IF($E45=1,COUNTIFS($C$22:C45,$C45,$E$22:E45,1),"")</x:f>
      </x:c>
      <x:c r="N45" s="131" t="str">
        <x:f>IF($E45&lt;&gt;1,"",IF(AND($F45&lt;=N$21,$G45&gt;=N$20),"■",""))</x:f>
      </x:c>
      <x:c r="O45" s="131" t="str">
        <x:f>IF($E45&lt;&gt;1,"",IF(AND($F45&lt;=O$21,$G45&gt;=O$20),"■",""))</x:f>
      </x:c>
      <x:c r="P45" s="131" t="str">
        <x:f>IF($E45&lt;&gt;1,"",IF(AND($F45&lt;=P$21,$G45&gt;=P$20),"■",""))</x:f>
      </x:c>
      <x:c r="Q45" s="131" t="str">
        <x:f>IF($E45&lt;&gt;1,"",IF(AND($F45&lt;=Q$21,$G45&gt;=Q$20),"■",""))</x:f>
      </x:c>
      <x:c r="R45" s="131" t="str">
        <x:f>IF($E45&lt;&gt;1,"",IF(AND($F45&lt;=R$21,$G45&gt;=R$20),"■",""))</x:f>
      </x:c>
      <x:c r="S45" s="131" t="str">
        <x:f>IF($E45&lt;&gt;1,"",IF(AND($F45&lt;=S$21,$G45&gt;=S$20),"■",""))</x:f>
      </x:c>
      <x:c r="T45" s="131" t="str">
        <x:f>IF($E45&lt;&gt;1,"",IF(AND($F45&lt;=T$21,$G45&gt;=T$20),"■",""))</x:f>
      </x:c>
      <x:c r="U45" s="131" t="str">
        <x:f>IF($E45&lt;&gt;1,"",IF(AND($F45&lt;=U$21,$G45&gt;=U$20),"■",""))</x:f>
      </x:c>
      <x:c r="V45" s="131" t="str">
        <x:f>IF($E45&lt;&gt;1,"",IF(AND($F45&lt;=V$21,$G45&gt;=V$20),"■",""))</x:f>
      </x:c>
      <x:c r="W45" s="131" t="str">
        <x:f>IF($E45&lt;&gt;1,"",IF(AND($F45&lt;=W$21,$G45&gt;=W$20),"■",""))</x:f>
      </x:c>
      <x:c r="X45" s="131" t="str">
        <x:f>IF($E45&lt;&gt;1,"",IF(AND($F45&lt;=X$21,$G45&gt;=X$20),"■",""))</x:f>
      </x:c>
      <x:c r="Y45" s="131" t="str">
        <x:f>IF($E45&lt;&gt;1,"",IF(AND($F45&lt;=Y$21,$G45&gt;=Y$20),"■",""))</x:f>
      </x:c>
    </x:row>
    <x:row r="46">
      <x:c r="A46" s="118" t="n">
        <x:f>ROW()-21</x:f>
        <x:v>25</x:v>
      </x:c>
      <x:c r="B46" s="118" t="str">
        <x:f>Mapa_Selecao!A28</x:f>
        <x:v>G2_INTER</x:v>
      </x:c>
      <x:c r="C46" s="118" t="str">
        <x:f>Mapa_Selecao!B28</x:f>
        <x:v>Gate 2 — Estratégia e Requisitos</x:v>
      </x:c>
      <x:c r="D46" s="118" t="str">
        <x:f>Mapa_Selecao!C28</x:f>
        <x:v>Triagem de internalização/nacionalização</x:v>
      </x:c>
      <x:c r="E46" s="118" t="n">
        <x:f>Mapa_Selecao!G28</x:f>
        <x:v>0</x:v>
      </x:c>
      <x:c r="F46" s="127" t="str">
        <x:f>IF($E46&lt;&gt;1,"",VLOOKUP($C46,$A$14:$F$18,4,FALSE)+ROUND((VLOOKUP($C46,$A$14:$F$18,5,FALSE)-VLOOKUP($C46,$A$14:$F$18,4,FALSE)+1)*($M46-1)/MAX(1,$L46),0))</x:f>
      </x:c>
      <x:c r="G46" s="127" t="str">
        <x:f>IF($E46&lt;&gt;1,"",MIN(VLOOKUP($C46,$A$14:$F$18,5,FALSE),VLOOKUP($C46,$A$14:$F$18,4,FALSE)+ROUND((VLOOKUP($C46,$A$14:$F$18,5,FALSE)-VLOOKUP($C46,$A$14:$F$18,4,FALSE)+1)*$M46/MAX(1,$L46),0)-1))</x:f>
      </x:c>
      <x:c r="H46" s="118" t="str">
        <x:f>IF($E46&lt;&gt;1,"",MAX(1,$G46-$F46+1))</x:f>
      </x:c>
      <x:c r="I46" s="118" t="str"/>
      <x:c r="J46" s="118" t="str">
        <x:v>Não iniciado</x:v>
      </x:c>
      <x:c r="K46" s="118" t="str"/>
      <x:c r="L46" s="118" t="n">
        <x:f>COUNTIFS($C$22:$C$100,$C46,$E$22:$E$100,1)</x:f>
        <x:v>0</x:v>
      </x:c>
      <x:c r="M46" s="118" t="str">
        <x:f>IF($E46=1,COUNTIFS($C$22:C46,$C46,$E$22:E46,1),"")</x:f>
      </x:c>
      <x:c r="N46" s="131" t="str">
        <x:f>IF($E46&lt;&gt;1,"",IF(AND($F46&lt;=N$21,$G46&gt;=N$20),"■",""))</x:f>
      </x:c>
      <x:c r="O46" s="131" t="str">
        <x:f>IF($E46&lt;&gt;1,"",IF(AND($F46&lt;=O$21,$G46&gt;=O$20),"■",""))</x:f>
      </x:c>
      <x:c r="P46" s="131" t="str">
        <x:f>IF($E46&lt;&gt;1,"",IF(AND($F46&lt;=P$21,$G46&gt;=P$20),"■",""))</x:f>
      </x:c>
      <x:c r="Q46" s="131" t="str">
        <x:f>IF($E46&lt;&gt;1,"",IF(AND($F46&lt;=Q$21,$G46&gt;=Q$20),"■",""))</x:f>
      </x:c>
      <x:c r="R46" s="131" t="str">
        <x:f>IF($E46&lt;&gt;1,"",IF(AND($F46&lt;=R$21,$G46&gt;=R$20),"■",""))</x:f>
      </x:c>
      <x:c r="S46" s="131" t="str">
        <x:f>IF($E46&lt;&gt;1,"",IF(AND($F46&lt;=S$21,$G46&gt;=S$20),"■",""))</x:f>
      </x:c>
      <x:c r="T46" s="131" t="str">
        <x:f>IF($E46&lt;&gt;1,"",IF(AND($F46&lt;=T$21,$G46&gt;=T$20),"■",""))</x:f>
      </x:c>
      <x:c r="U46" s="131" t="str">
        <x:f>IF($E46&lt;&gt;1,"",IF(AND($F46&lt;=U$21,$G46&gt;=U$20),"■",""))</x:f>
      </x:c>
      <x:c r="V46" s="131" t="str">
        <x:f>IF($E46&lt;&gt;1,"",IF(AND($F46&lt;=V$21,$G46&gt;=V$20),"■",""))</x:f>
      </x:c>
      <x:c r="W46" s="131" t="str">
        <x:f>IF($E46&lt;&gt;1,"",IF(AND($F46&lt;=W$21,$G46&gt;=W$20),"■",""))</x:f>
      </x:c>
      <x:c r="X46" s="131" t="str">
        <x:f>IF($E46&lt;&gt;1,"",IF(AND($F46&lt;=X$21,$G46&gt;=X$20),"■",""))</x:f>
      </x:c>
      <x:c r="Y46" s="131" t="str">
        <x:f>IF($E46&lt;&gt;1,"",IF(AND($F46&lt;=Y$21,$G46&gt;=Y$20),"■",""))</x:f>
      </x:c>
    </x:row>
    <x:row r="47">
      <x:c r="A47" s="118" t="n">
        <x:f>ROW()-21</x:f>
        <x:v>26</x:v>
      </x:c>
      <x:c r="B47" s="118" t="str">
        <x:f>Mapa_Selecao!A29</x:f>
        <x:v>G2_REG</x:v>
      </x:c>
      <x:c r="C47" s="118" t="str">
        <x:f>Mapa_Selecao!B29</x:f>
        <x:v>Gate 2 — Estratégia e Requisitos</x:v>
      </x:c>
      <x:c r="D47" s="118" t="str">
        <x:f>Mapa_Selecao!C29</x:f>
        <x:v>Triagem regulatória preliminar</x:v>
      </x:c>
      <x:c r="E47" s="118" t="n">
        <x:f>Mapa_Selecao!G29</x:f>
        <x:v>0</x:v>
      </x:c>
      <x:c r="F47" s="127" t="str">
        <x:f>IF($E47&lt;&gt;1,"",VLOOKUP($C47,$A$14:$F$18,4,FALSE)+ROUND((VLOOKUP($C47,$A$14:$F$18,5,FALSE)-VLOOKUP($C47,$A$14:$F$18,4,FALSE)+1)*($M47-1)/MAX(1,$L47),0))</x:f>
      </x:c>
      <x:c r="G47" s="127" t="str">
        <x:f>IF($E47&lt;&gt;1,"",MIN(VLOOKUP($C47,$A$14:$F$18,5,FALSE),VLOOKUP($C47,$A$14:$F$18,4,FALSE)+ROUND((VLOOKUP($C47,$A$14:$F$18,5,FALSE)-VLOOKUP($C47,$A$14:$F$18,4,FALSE)+1)*$M47/MAX(1,$L47),0)-1))</x:f>
      </x:c>
      <x:c r="H47" s="118" t="str">
        <x:f>IF($E47&lt;&gt;1,"",MAX(1,$G47-$F47+1))</x:f>
      </x:c>
      <x:c r="I47" s="118" t="str"/>
      <x:c r="J47" s="118" t="str">
        <x:v>Não iniciado</x:v>
      </x:c>
      <x:c r="K47" s="118" t="str"/>
      <x:c r="L47" s="118" t="n">
        <x:f>COUNTIFS($C$22:$C$100,$C47,$E$22:$E$100,1)</x:f>
        <x:v>0</x:v>
      </x:c>
      <x:c r="M47" s="118" t="str">
        <x:f>IF($E47=1,COUNTIFS($C$22:C47,$C47,$E$22:E47,1),"")</x:f>
      </x:c>
      <x:c r="N47" s="131" t="str">
        <x:f>IF($E47&lt;&gt;1,"",IF(AND($F47&lt;=N$21,$G47&gt;=N$20),"■",""))</x:f>
      </x:c>
      <x:c r="O47" s="131" t="str">
        <x:f>IF($E47&lt;&gt;1,"",IF(AND($F47&lt;=O$21,$G47&gt;=O$20),"■",""))</x:f>
      </x:c>
      <x:c r="P47" s="131" t="str">
        <x:f>IF($E47&lt;&gt;1,"",IF(AND($F47&lt;=P$21,$G47&gt;=P$20),"■",""))</x:f>
      </x:c>
      <x:c r="Q47" s="131" t="str">
        <x:f>IF($E47&lt;&gt;1,"",IF(AND($F47&lt;=Q$21,$G47&gt;=Q$20),"■",""))</x:f>
      </x:c>
      <x:c r="R47" s="131" t="str">
        <x:f>IF($E47&lt;&gt;1,"",IF(AND($F47&lt;=R$21,$G47&gt;=R$20),"■",""))</x:f>
      </x:c>
      <x:c r="S47" s="131" t="str">
        <x:f>IF($E47&lt;&gt;1,"",IF(AND($F47&lt;=S$21,$G47&gt;=S$20),"■",""))</x:f>
      </x:c>
      <x:c r="T47" s="131" t="str">
        <x:f>IF($E47&lt;&gt;1,"",IF(AND($F47&lt;=T$21,$G47&gt;=T$20),"■",""))</x:f>
      </x:c>
      <x:c r="U47" s="131" t="str">
        <x:f>IF($E47&lt;&gt;1,"",IF(AND($F47&lt;=U$21,$G47&gt;=U$20),"■",""))</x:f>
      </x:c>
      <x:c r="V47" s="131" t="str">
        <x:f>IF($E47&lt;&gt;1,"",IF(AND($F47&lt;=V$21,$G47&gt;=V$20),"■",""))</x:f>
      </x:c>
      <x:c r="W47" s="131" t="str">
        <x:f>IF($E47&lt;&gt;1,"",IF(AND($F47&lt;=W$21,$G47&gt;=W$20),"■",""))</x:f>
      </x:c>
      <x:c r="X47" s="131" t="str">
        <x:f>IF($E47&lt;&gt;1,"",IF(AND($F47&lt;=X$21,$G47&gt;=X$20),"■",""))</x:f>
      </x:c>
      <x:c r="Y47" s="131" t="str">
        <x:f>IF($E47&lt;&gt;1,"",IF(AND($F47&lt;=Y$21,$G47&gt;=Y$20),"■",""))</x:f>
      </x:c>
    </x:row>
    <x:row r="48">
      <x:c r="A48" s="118" t="n">
        <x:f>ROW()-21</x:f>
        <x:v>27</x:v>
      </x:c>
      <x:c r="B48" s="118" t="str">
        <x:f>Mapa_Selecao!A30</x:f>
        <x:v>G2_CONTATO</x:v>
      </x:c>
      <x:c r="C48" s="118" t="str">
        <x:f>Mapa_Selecao!B30</x:f>
        <x:v>Gate 2 — Estratégia e Requisitos</x:v>
      </x:c>
      <x:c r="D48" s="118" t="str">
        <x:f>Mapa_Selecao!C30</x:f>
        <x:v>Triagem de contato com paciente</x:v>
      </x:c>
      <x:c r="E48" s="118" t="n">
        <x:f>Mapa_Selecao!G30</x:f>
        <x:v>0</x:v>
      </x:c>
      <x:c r="F48" s="127" t="str">
        <x:f>IF($E48&lt;&gt;1,"",VLOOKUP($C48,$A$14:$F$18,4,FALSE)+ROUND((VLOOKUP($C48,$A$14:$F$18,5,FALSE)-VLOOKUP($C48,$A$14:$F$18,4,FALSE)+1)*($M48-1)/MAX(1,$L48),0))</x:f>
      </x:c>
      <x:c r="G48" s="127" t="str">
        <x:f>IF($E48&lt;&gt;1,"",MIN(VLOOKUP($C48,$A$14:$F$18,5,FALSE),VLOOKUP($C48,$A$14:$F$18,4,FALSE)+ROUND((VLOOKUP($C48,$A$14:$F$18,5,FALSE)-VLOOKUP($C48,$A$14:$F$18,4,FALSE)+1)*$M48/MAX(1,$L48),0)-1))</x:f>
      </x:c>
      <x:c r="H48" s="118" t="str">
        <x:f>IF($E48&lt;&gt;1,"",MAX(1,$G48-$F48+1))</x:f>
      </x:c>
      <x:c r="I48" s="118" t="str"/>
      <x:c r="J48" s="118" t="str">
        <x:v>Não iniciado</x:v>
      </x:c>
      <x:c r="K48" s="118" t="str"/>
      <x:c r="L48" s="118" t="n">
        <x:f>COUNTIFS($C$22:$C$100,$C48,$E$22:$E$100,1)</x:f>
        <x:v>0</x:v>
      </x:c>
      <x:c r="M48" s="118" t="str">
        <x:f>IF($E48=1,COUNTIFS($C$22:C48,$C48,$E$22:E48,1),"")</x:f>
      </x:c>
      <x:c r="N48" s="131" t="str">
        <x:f>IF($E48&lt;&gt;1,"",IF(AND($F48&lt;=N$21,$G48&gt;=N$20),"■",""))</x:f>
      </x:c>
      <x:c r="O48" s="131" t="str">
        <x:f>IF($E48&lt;&gt;1,"",IF(AND($F48&lt;=O$21,$G48&gt;=O$20),"■",""))</x:f>
      </x:c>
      <x:c r="P48" s="131" t="str">
        <x:f>IF($E48&lt;&gt;1,"",IF(AND($F48&lt;=P$21,$G48&gt;=P$20),"■",""))</x:f>
      </x:c>
      <x:c r="Q48" s="131" t="str">
        <x:f>IF($E48&lt;&gt;1,"",IF(AND($F48&lt;=Q$21,$G48&gt;=Q$20),"■",""))</x:f>
      </x:c>
      <x:c r="R48" s="131" t="str">
        <x:f>IF($E48&lt;&gt;1,"",IF(AND($F48&lt;=R$21,$G48&gt;=R$20),"■",""))</x:f>
      </x:c>
      <x:c r="S48" s="131" t="str">
        <x:f>IF($E48&lt;&gt;1,"",IF(AND($F48&lt;=S$21,$G48&gt;=S$20),"■",""))</x:f>
      </x:c>
      <x:c r="T48" s="131" t="str">
        <x:f>IF($E48&lt;&gt;1,"",IF(AND($F48&lt;=T$21,$G48&gt;=T$20),"■",""))</x:f>
      </x:c>
      <x:c r="U48" s="131" t="str">
        <x:f>IF($E48&lt;&gt;1,"",IF(AND($F48&lt;=U$21,$G48&gt;=U$20),"■",""))</x:f>
      </x:c>
      <x:c r="V48" s="131" t="str">
        <x:f>IF($E48&lt;&gt;1,"",IF(AND($F48&lt;=V$21,$G48&gt;=V$20),"■",""))</x:f>
      </x:c>
      <x:c r="W48" s="131" t="str">
        <x:f>IF($E48&lt;&gt;1,"",IF(AND($F48&lt;=W$21,$G48&gt;=W$20),"■",""))</x:f>
      </x:c>
      <x:c r="X48" s="131" t="str">
        <x:f>IF($E48&lt;&gt;1,"",IF(AND($F48&lt;=X$21,$G48&gt;=X$20),"■",""))</x:f>
      </x:c>
      <x:c r="Y48" s="131" t="str">
        <x:f>IF($E48&lt;&gt;1,"",IF(AND($F48&lt;=Y$21,$G48&gt;=Y$20),"■",""))</x:f>
      </x:c>
    </x:row>
    <x:row r="49">
      <x:c r="A49" s="118" t="n">
        <x:f>ROW()-21</x:f>
        <x:v>28</x:v>
      </x:c>
      <x:c r="B49" s="118" t="str">
        <x:f>Mapa_Selecao!A31</x:f>
        <x:v>G2_ESTERIL</x:v>
      </x:c>
      <x:c r="C49" s="118" t="str">
        <x:f>Mapa_Selecao!B31</x:f>
        <x:v>Gate 2 — Estratégia e Requisitos</x:v>
      </x:c>
      <x:c r="D49" s="118" t="str">
        <x:f>Mapa_Selecao!C31</x:f>
        <x:v>Triagem de esterilidade</x:v>
      </x:c>
      <x:c r="E49" s="118" t="n">
        <x:f>Mapa_Selecao!G31</x:f>
        <x:v>0</x:v>
      </x:c>
      <x:c r="F49" s="127" t="str">
        <x:f>IF($E49&lt;&gt;1,"",VLOOKUP($C49,$A$14:$F$18,4,FALSE)+ROUND((VLOOKUP($C49,$A$14:$F$18,5,FALSE)-VLOOKUP($C49,$A$14:$F$18,4,FALSE)+1)*($M49-1)/MAX(1,$L49),0))</x:f>
      </x:c>
      <x:c r="G49" s="127" t="str">
        <x:f>IF($E49&lt;&gt;1,"",MIN(VLOOKUP($C49,$A$14:$F$18,5,FALSE),VLOOKUP($C49,$A$14:$F$18,4,FALSE)+ROUND((VLOOKUP($C49,$A$14:$F$18,5,FALSE)-VLOOKUP($C49,$A$14:$F$18,4,FALSE)+1)*$M49/MAX(1,$L49),0)-1))</x:f>
      </x:c>
      <x:c r="H49" s="118" t="str">
        <x:f>IF($E49&lt;&gt;1,"",MAX(1,$G49-$F49+1))</x:f>
      </x:c>
      <x:c r="I49" s="118" t="str"/>
      <x:c r="J49" s="118" t="str">
        <x:v>Não iniciado</x:v>
      </x:c>
      <x:c r="K49" s="118" t="str"/>
      <x:c r="L49" s="118" t="n">
        <x:f>COUNTIFS($C$22:$C$100,$C49,$E$22:$E$100,1)</x:f>
        <x:v>0</x:v>
      </x:c>
      <x:c r="M49" s="118" t="str">
        <x:f>IF($E49=1,COUNTIFS($C$22:C49,$C49,$E$22:E49,1),"")</x:f>
      </x:c>
      <x:c r="N49" s="131" t="str">
        <x:f>IF($E49&lt;&gt;1,"",IF(AND($F49&lt;=N$21,$G49&gt;=N$20),"■",""))</x:f>
      </x:c>
      <x:c r="O49" s="131" t="str">
        <x:f>IF($E49&lt;&gt;1,"",IF(AND($F49&lt;=O$21,$G49&gt;=O$20),"■",""))</x:f>
      </x:c>
      <x:c r="P49" s="131" t="str">
        <x:f>IF($E49&lt;&gt;1,"",IF(AND($F49&lt;=P$21,$G49&gt;=P$20),"■",""))</x:f>
      </x:c>
      <x:c r="Q49" s="131" t="str">
        <x:f>IF($E49&lt;&gt;1,"",IF(AND($F49&lt;=Q$21,$G49&gt;=Q$20),"■",""))</x:f>
      </x:c>
      <x:c r="R49" s="131" t="str">
        <x:f>IF($E49&lt;&gt;1,"",IF(AND($F49&lt;=R$21,$G49&gt;=R$20),"■",""))</x:f>
      </x:c>
      <x:c r="S49" s="131" t="str">
        <x:f>IF($E49&lt;&gt;1,"",IF(AND($F49&lt;=S$21,$G49&gt;=S$20),"■",""))</x:f>
      </x:c>
      <x:c r="T49" s="131" t="str">
        <x:f>IF($E49&lt;&gt;1,"",IF(AND($F49&lt;=T$21,$G49&gt;=T$20),"■",""))</x:f>
      </x:c>
      <x:c r="U49" s="131" t="str">
        <x:f>IF($E49&lt;&gt;1,"",IF(AND($F49&lt;=U$21,$G49&gt;=U$20),"■",""))</x:f>
      </x:c>
      <x:c r="V49" s="131" t="str">
        <x:f>IF($E49&lt;&gt;1,"",IF(AND($F49&lt;=V$21,$G49&gt;=V$20),"■",""))</x:f>
      </x:c>
      <x:c r="W49" s="131" t="str">
        <x:f>IF($E49&lt;&gt;1,"",IF(AND($F49&lt;=W$21,$G49&gt;=W$20),"■",""))</x:f>
      </x:c>
      <x:c r="X49" s="131" t="str">
        <x:f>IF($E49&lt;&gt;1,"",IF(AND($F49&lt;=X$21,$G49&gt;=X$20),"■",""))</x:f>
      </x:c>
      <x:c r="Y49" s="131" t="str">
        <x:f>IF($E49&lt;&gt;1,"",IF(AND($F49&lt;=Y$21,$G49&gt;=Y$20),"■",""))</x:f>
      </x:c>
    </x:row>
    <x:row r="50">
      <x:c r="A50" s="118" t="n">
        <x:f>ROW()-21</x:f>
        <x:v>29</x:v>
      </x:c>
      <x:c r="B50" s="118" t="str">
        <x:f>Mapa_Selecao!A32</x:f>
        <x:v>G2_USOCRIT</x:v>
      </x:c>
      <x:c r="C50" s="118" t="str">
        <x:f>Mapa_Selecao!B32</x:f>
        <x:v>Gate 2 — Estratégia e Requisitos</x:v>
      </x:c>
      <x:c r="D50" s="118" t="str">
        <x:f>Mapa_Selecao!C32</x:f>
        <x:v>Triagem de uso crítico</x:v>
      </x:c>
      <x:c r="E50" s="118" t="n">
        <x:f>Mapa_Selecao!G32</x:f>
        <x:v>0</x:v>
      </x:c>
      <x:c r="F50" s="127" t="str">
        <x:f>IF($E50&lt;&gt;1,"",VLOOKUP($C50,$A$14:$F$18,4,FALSE)+ROUND((VLOOKUP($C50,$A$14:$F$18,5,FALSE)-VLOOKUP($C50,$A$14:$F$18,4,FALSE)+1)*($M50-1)/MAX(1,$L50),0))</x:f>
      </x:c>
      <x:c r="G50" s="127" t="str">
        <x:f>IF($E50&lt;&gt;1,"",MIN(VLOOKUP($C50,$A$14:$F$18,5,FALSE),VLOOKUP($C50,$A$14:$F$18,4,FALSE)+ROUND((VLOOKUP($C50,$A$14:$F$18,5,FALSE)-VLOOKUP($C50,$A$14:$F$18,4,FALSE)+1)*$M50/MAX(1,$L50),0)-1))</x:f>
      </x:c>
      <x:c r="H50" s="118" t="str">
        <x:f>IF($E50&lt;&gt;1,"",MAX(1,$G50-$F50+1))</x:f>
      </x:c>
      <x:c r="I50" s="118" t="str"/>
      <x:c r="J50" s="118" t="str">
        <x:v>Não iniciado</x:v>
      </x:c>
      <x:c r="K50" s="118" t="str"/>
      <x:c r="L50" s="118" t="n">
        <x:f>COUNTIFS($C$22:$C$100,$C50,$E$22:$E$100,1)</x:f>
        <x:v>0</x:v>
      </x:c>
      <x:c r="M50" s="118" t="str">
        <x:f>IF($E50=1,COUNTIFS($C$22:C50,$C50,$E$22:E50,1),"")</x:f>
      </x:c>
      <x:c r="N50" s="131" t="str">
        <x:f>IF($E50&lt;&gt;1,"",IF(AND($F50&lt;=N$21,$G50&gt;=N$20),"■",""))</x:f>
      </x:c>
      <x:c r="O50" s="131" t="str">
        <x:f>IF($E50&lt;&gt;1,"",IF(AND($F50&lt;=O$21,$G50&gt;=O$20),"■",""))</x:f>
      </x:c>
      <x:c r="P50" s="131" t="str">
        <x:f>IF($E50&lt;&gt;1,"",IF(AND($F50&lt;=P$21,$G50&gt;=P$20),"■",""))</x:f>
      </x:c>
      <x:c r="Q50" s="131" t="str">
        <x:f>IF($E50&lt;&gt;1,"",IF(AND($F50&lt;=Q$21,$G50&gt;=Q$20),"■",""))</x:f>
      </x:c>
      <x:c r="R50" s="131" t="str">
        <x:f>IF($E50&lt;&gt;1,"",IF(AND($F50&lt;=R$21,$G50&gt;=R$20),"■",""))</x:f>
      </x:c>
      <x:c r="S50" s="131" t="str">
        <x:f>IF($E50&lt;&gt;1,"",IF(AND($F50&lt;=S$21,$G50&gt;=S$20),"■",""))</x:f>
      </x:c>
      <x:c r="T50" s="131" t="str">
        <x:f>IF($E50&lt;&gt;1,"",IF(AND($F50&lt;=T$21,$G50&gt;=T$20),"■",""))</x:f>
      </x:c>
      <x:c r="U50" s="131" t="str">
        <x:f>IF($E50&lt;&gt;1,"",IF(AND($F50&lt;=U$21,$G50&gt;=U$20),"■",""))</x:f>
      </x:c>
      <x:c r="V50" s="131" t="str">
        <x:f>IF($E50&lt;&gt;1,"",IF(AND($F50&lt;=V$21,$G50&gt;=V$20),"■",""))</x:f>
      </x:c>
      <x:c r="W50" s="131" t="str">
        <x:f>IF($E50&lt;&gt;1,"",IF(AND($F50&lt;=W$21,$G50&gt;=W$20),"■",""))</x:f>
      </x:c>
      <x:c r="X50" s="131" t="str">
        <x:f>IF($E50&lt;&gt;1,"",IF(AND($F50&lt;=X$21,$G50&gt;=X$20),"■",""))</x:f>
      </x:c>
      <x:c r="Y50" s="131" t="str">
        <x:f>IF($E50&lt;&gt;1,"",IF(AND($F50&lt;=Y$21,$G50&gt;=Y$20),"■",""))</x:f>
      </x:c>
    </x:row>
    <x:row r="51">
      <x:c r="A51" s="118" t="n">
        <x:f>ROW()-21</x:f>
        <x:v>30</x:v>
      </x:c>
      <x:c r="B51" s="118" t="str">
        <x:f>Mapa_Selecao!A33</x:f>
        <x:v>G2_PROD</x:v>
      </x:c>
      <x:c r="C51" s="118" t="str">
        <x:f>Mapa_Selecao!B33</x:f>
        <x:v>Gate 2 — Estratégia e Requisitos</x:v>
      </x:c>
      <x:c r="D51" s="118" t="str">
        <x:f>Mapa_Selecao!C33</x:f>
        <x:v>Triagem produtiva conceitual</x:v>
      </x:c>
      <x:c r="E51" s="118" t="n">
        <x:f>Mapa_Selecao!G33</x:f>
        <x:v>0</x:v>
      </x:c>
      <x:c r="F51" s="127" t="str">
        <x:f>IF($E51&lt;&gt;1,"",VLOOKUP($C51,$A$14:$F$18,4,FALSE)+ROUND((VLOOKUP($C51,$A$14:$F$18,5,FALSE)-VLOOKUP($C51,$A$14:$F$18,4,FALSE)+1)*($M51-1)/MAX(1,$L51),0))</x:f>
      </x:c>
      <x:c r="G51" s="127" t="str">
        <x:f>IF($E51&lt;&gt;1,"",MIN(VLOOKUP($C51,$A$14:$F$18,5,FALSE),VLOOKUP($C51,$A$14:$F$18,4,FALSE)+ROUND((VLOOKUP($C51,$A$14:$F$18,5,FALSE)-VLOOKUP($C51,$A$14:$F$18,4,FALSE)+1)*$M51/MAX(1,$L51),0)-1))</x:f>
      </x:c>
      <x:c r="H51" s="118" t="str">
        <x:f>IF($E51&lt;&gt;1,"",MAX(1,$G51-$F51+1))</x:f>
      </x:c>
      <x:c r="I51" s="118" t="str"/>
      <x:c r="J51" s="118" t="str">
        <x:v>Não iniciado</x:v>
      </x:c>
      <x:c r="K51" s="118" t="str"/>
      <x:c r="L51" s="118" t="n">
        <x:f>COUNTIFS($C$22:$C$100,$C51,$E$22:$E$100,1)</x:f>
        <x:v>0</x:v>
      </x:c>
      <x:c r="M51" s="118" t="str">
        <x:f>IF($E51=1,COUNTIFS($C$22:C51,$C51,$E$22:E51,1),"")</x:f>
      </x:c>
      <x:c r="N51" s="131" t="str">
        <x:f>IF($E51&lt;&gt;1,"",IF(AND($F51&lt;=N$21,$G51&gt;=N$20),"■",""))</x:f>
      </x:c>
      <x:c r="O51" s="131" t="str">
        <x:f>IF($E51&lt;&gt;1,"",IF(AND($F51&lt;=O$21,$G51&gt;=O$20),"■",""))</x:f>
      </x:c>
      <x:c r="P51" s="131" t="str">
        <x:f>IF($E51&lt;&gt;1,"",IF(AND($F51&lt;=P$21,$G51&gt;=P$20),"■",""))</x:f>
      </x:c>
      <x:c r="Q51" s="131" t="str">
        <x:f>IF($E51&lt;&gt;1,"",IF(AND($F51&lt;=Q$21,$G51&gt;=Q$20),"■",""))</x:f>
      </x:c>
      <x:c r="R51" s="131" t="str">
        <x:f>IF($E51&lt;&gt;1,"",IF(AND($F51&lt;=R$21,$G51&gt;=R$20),"■",""))</x:f>
      </x:c>
      <x:c r="S51" s="131" t="str">
        <x:f>IF($E51&lt;&gt;1,"",IF(AND($F51&lt;=S$21,$G51&gt;=S$20),"■",""))</x:f>
      </x:c>
      <x:c r="T51" s="131" t="str">
        <x:f>IF($E51&lt;&gt;1,"",IF(AND($F51&lt;=T$21,$G51&gt;=T$20),"■",""))</x:f>
      </x:c>
      <x:c r="U51" s="131" t="str">
        <x:f>IF($E51&lt;&gt;1,"",IF(AND($F51&lt;=U$21,$G51&gt;=U$20),"■",""))</x:f>
      </x:c>
      <x:c r="V51" s="131" t="str">
        <x:f>IF($E51&lt;&gt;1,"",IF(AND($F51&lt;=V$21,$G51&gt;=V$20),"■",""))</x:f>
      </x:c>
      <x:c r="W51" s="131" t="str">
        <x:f>IF($E51&lt;&gt;1,"",IF(AND($F51&lt;=W$21,$G51&gt;=W$20),"■",""))</x:f>
      </x:c>
      <x:c r="X51" s="131" t="str">
        <x:f>IF($E51&lt;&gt;1,"",IF(AND($F51&lt;=X$21,$G51&gt;=X$20),"■",""))</x:f>
      </x:c>
      <x:c r="Y51" s="131" t="str">
        <x:f>IF($E51&lt;&gt;1,"",IF(AND($F51&lt;=Y$21,$G51&gt;=Y$20),"■",""))</x:f>
      </x:c>
    </x:row>
    <x:row r="52">
      <x:c r="A52" s="118" t="n">
        <x:f>ROW()-21</x:f>
        <x:v>31</x:v>
      </x:c>
      <x:c r="B52" s="118" t="str">
        <x:f>Mapa_Selecao!A34</x:f>
        <x:v>G2_ECON</x:v>
      </x:c>
      <x:c r="C52" s="118" t="str">
        <x:f>Mapa_Selecao!B34</x:f>
        <x:v>Gate 2 — Estratégia e Requisitos</x:v>
      </x:c>
      <x:c r="D52" s="118" t="str">
        <x:f>Mapa_Selecao!C34</x:f>
        <x:v>Triagem econômica preliminar</x:v>
      </x:c>
      <x:c r="E52" s="118" t="n">
        <x:f>Mapa_Selecao!G34</x:f>
        <x:v>0</x:v>
      </x:c>
      <x:c r="F52" s="127" t="str">
        <x:f>IF($E52&lt;&gt;1,"",VLOOKUP($C52,$A$14:$F$18,4,FALSE)+ROUND((VLOOKUP($C52,$A$14:$F$18,5,FALSE)-VLOOKUP($C52,$A$14:$F$18,4,FALSE)+1)*($M52-1)/MAX(1,$L52),0))</x:f>
      </x:c>
      <x:c r="G52" s="127" t="str">
        <x:f>IF($E52&lt;&gt;1,"",MIN(VLOOKUP($C52,$A$14:$F$18,5,FALSE),VLOOKUP($C52,$A$14:$F$18,4,FALSE)+ROUND((VLOOKUP($C52,$A$14:$F$18,5,FALSE)-VLOOKUP($C52,$A$14:$F$18,4,FALSE)+1)*$M52/MAX(1,$L52),0)-1))</x:f>
      </x:c>
      <x:c r="H52" s="118" t="str">
        <x:f>IF($E52&lt;&gt;1,"",MAX(1,$G52-$F52+1))</x:f>
      </x:c>
      <x:c r="I52" s="118" t="str"/>
      <x:c r="J52" s="118" t="str">
        <x:v>Não iniciado</x:v>
      </x:c>
      <x:c r="K52" s="118" t="str"/>
      <x:c r="L52" s="118" t="n">
        <x:f>COUNTIFS($C$22:$C$100,$C52,$E$22:$E$100,1)</x:f>
        <x:v>0</x:v>
      </x:c>
      <x:c r="M52" s="118" t="str">
        <x:f>IF($E52=1,COUNTIFS($C$22:C52,$C52,$E$22:E52,1),"")</x:f>
      </x:c>
      <x:c r="N52" s="131" t="str">
        <x:f>IF($E52&lt;&gt;1,"",IF(AND($F52&lt;=N$21,$G52&gt;=N$20),"■",""))</x:f>
      </x:c>
      <x:c r="O52" s="131" t="str">
        <x:f>IF($E52&lt;&gt;1,"",IF(AND($F52&lt;=O$21,$G52&gt;=O$20),"■",""))</x:f>
      </x:c>
      <x:c r="P52" s="131" t="str">
        <x:f>IF($E52&lt;&gt;1,"",IF(AND($F52&lt;=P$21,$G52&gt;=P$20),"■",""))</x:f>
      </x:c>
      <x:c r="Q52" s="131" t="str">
        <x:f>IF($E52&lt;&gt;1,"",IF(AND($F52&lt;=Q$21,$G52&gt;=Q$20),"■",""))</x:f>
      </x:c>
      <x:c r="R52" s="131" t="str">
        <x:f>IF($E52&lt;&gt;1,"",IF(AND($F52&lt;=R$21,$G52&gt;=R$20),"■",""))</x:f>
      </x:c>
      <x:c r="S52" s="131" t="str">
        <x:f>IF($E52&lt;&gt;1,"",IF(AND($F52&lt;=S$21,$G52&gt;=S$20),"■",""))</x:f>
      </x:c>
      <x:c r="T52" s="131" t="str">
        <x:f>IF($E52&lt;&gt;1,"",IF(AND($F52&lt;=T$21,$G52&gt;=T$20),"■",""))</x:f>
      </x:c>
      <x:c r="U52" s="131" t="str">
        <x:f>IF($E52&lt;&gt;1,"",IF(AND($F52&lt;=U$21,$G52&gt;=U$20),"■",""))</x:f>
      </x:c>
      <x:c r="V52" s="131" t="str">
        <x:f>IF($E52&lt;&gt;1,"",IF(AND($F52&lt;=V$21,$G52&gt;=V$20),"■",""))</x:f>
      </x:c>
      <x:c r="W52" s="131" t="str">
        <x:f>IF($E52&lt;&gt;1,"",IF(AND($F52&lt;=W$21,$G52&gt;=W$20),"■",""))</x:f>
      </x:c>
      <x:c r="X52" s="131" t="str">
        <x:f>IF($E52&lt;&gt;1,"",IF(AND($F52&lt;=X$21,$G52&gt;=X$20),"■",""))</x:f>
      </x:c>
      <x:c r="Y52" s="131" t="str">
        <x:f>IF($E52&lt;&gt;1,"",IF(AND($F52&lt;=Y$21,$G52&gt;=Y$20),"■",""))</x:f>
      </x:c>
    </x:row>
    <x:row r="53">
      <x:c r="A53" s="118" t="n">
        <x:f>ROW()-21</x:f>
        <x:v>32</x:v>
      </x:c>
      <x:c r="B53" s="118" t="str">
        <x:f>Mapa_Selecao!A35</x:f>
        <x:v>G2_BUSCAEXT</x:v>
      </x:c>
      <x:c r="C53" s="118" t="str">
        <x:f>Mapa_Selecao!B35</x:f>
        <x:v>Gate 2 — Estratégia e Requisitos</x:v>
      </x:c>
      <x:c r="D53" s="118" t="str">
        <x:f>Mapa_Selecao!C35</x:f>
        <x:v>Busca externa de soluções</x:v>
      </x:c>
      <x:c r="E53" s="118" t="n">
        <x:f>Mapa_Selecao!G35</x:f>
        <x:v>0</x:v>
      </x:c>
      <x:c r="F53" s="127" t="str">
        <x:f>IF($E53&lt;&gt;1,"",VLOOKUP($C53,$A$14:$F$18,4,FALSE)+ROUND((VLOOKUP($C53,$A$14:$F$18,5,FALSE)-VLOOKUP($C53,$A$14:$F$18,4,FALSE)+1)*($M53-1)/MAX(1,$L53),0))</x:f>
      </x:c>
      <x:c r="G53" s="127" t="str">
        <x:f>IF($E53&lt;&gt;1,"",MIN(VLOOKUP($C53,$A$14:$F$18,5,FALSE),VLOOKUP($C53,$A$14:$F$18,4,FALSE)+ROUND((VLOOKUP($C53,$A$14:$F$18,5,FALSE)-VLOOKUP($C53,$A$14:$F$18,4,FALSE)+1)*$M53/MAX(1,$L53),0)-1))</x:f>
      </x:c>
      <x:c r="H53" s="118" t="str">
        <x:f>IF($E53&lt;&gt;1,"",MAX(1,$G53-$F53+1))</x:f>
      </x:c>
      <x:c r="I53" s="118" t="str"/>
      <x:c r="J53" s="118" t="str">
        <x:v>Não iniciado</x:v>
      </x:c>
      <x:c r="K53" s="118" t="str"/>
      <x:c r="L53" s="118" t="n">
        <x:f>COUNTIFS($C$22:$C$100,$C53,$E$22:$E$100,1)</x:f>
        <x:v>0</x:v>
      </x:c>
      <x:c r="M53" s="118" t="str">
        <x:f>IF($E53=1,COUNTIFS($C$22:C53,$C53,$E$22:E53,1),"")</x:f>
      </x:c>
      <x:c r="N53" s="131" t="str">
        <x:f>IF($E53&lt;&gt;1,"",IF(AND($F53&lt;=N$21,$G53&gt;=N$20),"■",""))</x:f>
      </x:c>
      <x:c r="O53" s="131" t="str">
        <x:f>IF($E53&lt;&gt;1,"",IF(AND($F53&lt;=O$21,$G53&gt;=O$20),"■",""))</x:f>
      </x:c>
      <x:c r="P53" s="131" t="str">
        <x:f>IF($E53&lt;&gt;1,"",IF(AND($F53&lt;=P$21,$G53&gt;=P$20),"■",""))</x:f>
      </x:c>
      <x:c r="Q53" s="131" t="str">
        <x:f>IF($E53&lt;&gt;1,"",IF(AND($F53&lt;=Q$21,$G53&gt;=Q$20),"■",""))</x:f>
      </x:c>
      <x:c r="R53" s="131" t="str">
        <x:f>IF($E53&lt;&gt;1,"",IF(AND($F53&lt;=R$21,$G53&gt;=R$20),"■",""))</x:f>
      </x:c>
      <x:c r="S53" s="131" t="str">
        <x:f>IF($E53&lt;&gt;1,"",IF(AND($F53&lt;=S$21,$G53&gt;=S$20),"■",""))</x:f>
      </x:c>
      <x:c r="T53" s="131" t="str">
        <x:f>IF($E53&lt;&gt;1,"",IF(AND($F53&lt;=T$21,$G53&gt;=T$20),"■",""))</x:f>
      </x:c>
      <x:c r="U53" s="131" t="str">
        <x:f>IF($E53&lt;&gt;1,"",IF(AND($F53&lt;=U$21,$G53&gt;=U$20),"■",""))</x:f>
      </x:c>
      <x:c r="V53" s="131" t="str">
        <x:f>IF($E53&lt;&gt;1,"",IF(AND($F53&lt;=V$21,$G53&gt;=V$20),"■",""))</x:f>
      </x:c>
      <x:c r="W53" s="131" t="str">
        <x:f>IF($E53&lt;&gt;1,"",IF(AND($F53&lt;=W$21,$G53&gt;=W$20),"■",""))</x:f>
      </x:c>
      <x:c r="X53" s="131" t="str">
        <x:f>IF($E53&lt;&gt;1,"",IF(AND($F53&lt;=X$21,$G53&gt;=X$20),"■",""))</x:f>
      </x:c>
      <x:c r="Y53" s="131" t="str">
        <x:f>IF($E53&lt;&gt;1,"",IF(AND($F53&lt;=Y$21,$G53&gt;=Y$20),"■",""))</x:f>
      </x:c>
    </x:row>
    <x:row r="54">
      <x:c r="A54" s="118" t="n">
        <x:f>ROW()-21</x:f>
        <x:v>33</x:v>
      </x:c>
      <x:c r="B54" s="118" t="str">
        <x:f>Mapa_Selecao!A36</x:f>
        <x:v>G2_INCERT</x:v>
      </x:c>
      <x:c r="C54" s="118" t="str">
        <x:f>Mapa_Selecao!B36</x:f>
        <x:v>Gate 2 — Estratégia e Requisitos</x:v>
      </x:c>
      <x:c r="D54" s="118" t="str">
        <x:f>Mapa_Selecao!C36</x:f>
        <x:v>Mapa atualizado de incertezas</x:v>
      </x:c>
      <x:c r="E54" s="118" t="n">
        <x:f>Mapa_Selecao!G36</x:f>
        <x:v>0</x:v>
      </x:c>
      <x:c r="F54" s="127" t="str">
        <x:f>IF($E54&lt;&gt;1,"",VLOOKUP($C54,$A$14:$F$18,4,FALSE)+ROUND((VLOOKUP($C54,$A$14:$F$18,5,FALSE)-VLOOKUP($C54,$A$14:$F$18,4,FALSE)+1)*($M54-1)/MAX(1,$L54),0))</x:f>
      </x:c>
      <x:c r="G54" s="127" t="str">
        <x:f>IF($E54&lt;&gt;1,"",MIN(VLOOKUP($C54,$A$14:$F$18,5,FALSE),VLOOKUP($C54,$A$14:$F$18,4,FALSE)+ROUND((VLOOKUP($C54,$A$14:$F$18,5,FALSE)-VLOOKUP($C54,$A$14:$F$18,4,FALSE)+1)*$M54/MAX(1,$L54),0)-1))</x:f>
      </x:c>
      <x:c r="H54" s="118" t="str">
        <x:f>IF($E54&lt;&gt;1,"",MAX(1,$G54-$F54+1))</x:f>
      </x:c>
      <x:c r="I54" s="118" t="str"/>
      <x:c r="J54" s="118" t="str">
        <x:v>Não iniciado</x:v>
      </x:c>
      <x:c r="K54" s="118" t="str"/>
      <x:c r="L54" s="118" t="n">
        <x:f>COUNTIFS($C$22:$C$100,$C54,$E$22:$E$100,1)</x:f>
        <x:v>0</x:v>
      </x:c>
      <x:c r="M54" s="118" t="str">
        <x:f>IF($E54=1,COUNTIFS($C$22:C54,$C54,$E$22:E54,1),"")</x:f>
      </x:c>
      <x:c r="N54" s="131" t="str">
        <x:f>IF($E54&lt;&gt;1,"",IF(AND($F54&lt;=N$21,$G54&gt;=N$20),"■",""))</x:f>
      </x:c>
      <x:c r="O54" s="131" t="str">
        <x:f>IF($E54&lt;&gt;1,"",IF(AND($F54&lt;=O$21,$G54&gt;=O$20),"■",""))</x:f>
      </x:c>
      <x:c r="P54" s="131" t="str">
        <x:f>IF($E54&lt;&gt;1,"",IF(AND($F54&lt;=P$21,$G54&gt;=P$20),"■",""))</x:f>
      </x:c>
      <x:c r="Q54" s="131" t="str">
        <x:f>IF($E54&lt;&gt;1,"",IF(AND($F54&lt;=Q$21,$G54&gt;=Q$20),"■",""))</x:f>
      </x:c>
      <x:c r="R54" s="131" t="str">
        <x:f>IF($E54&lt;&gt;1,"",IF(AND($F54&lt;=R$21,$G54&gt;=R$20),"■",""))</x:f>
      </x:c>
      <x:c r="S54" s="131" t="str">
        <x:f>IF($E54&lt;&gt;1,"",IF(AND($F54&lt;=S$21,$G54&gt;=S$20),"■",""))</x:f>
      </x:c>
      <x:c r="T54" s="131" t="str">
        <x:f>IF($E54&lt;&gt;1,"",IF(AND($F54&lt;=T$21,$G54&gt;=T$20),"■",""))</x:f>
      </x:c>
      <x:c r="U54" s="131" t="str">
        <x:f>IF($E54&lt;&gt;1,"",IF(AND($F54&lt;=U$21,$G54&gt;=U$20),"■",""))</x:f>
      </x:c>
      <x:c r="V54" s="131" t="str">
        <x:f>IF($E54&lt;&gt;1,"",IF(AND($F54&lt;=V$21,$G54&gt;=V$20),"■",""))</x:f>
      </x:c>
      <x:c r="W54" s="131" t="str">
        <x:f>IF($E54&lt;&gt;1,"",IF(AND($F54&lt;=W$21,$G54&gt;=W$20),"■",""))</x:f>
      </x:c>
      <x:c r="X54" s="131" t="str">
        <x:f>IF($E54&lt;&gt;1,"",IF(AND($F54&lt;=X$21,$G54&gt;=X$20),"■",""))</x:f>
      </x:c>
      <x:c r="Y54" s="131" t="str">
        <x:f>IF($E54&lt;&gt;1,"",IF(AND($F54&lt;=Y$21,$G54&gt;=Y$20),"■",""))</x:f>
      </x:c>
    </x:row>
    <x:row r="55">
      <x:c r="A55" s="118" t="n">
        <x:f>ROW()-21</x:f>
        <x:v>34</x:v>
      </x:c>
      <x:c r="B55" s="118" t="str">
        <x:f>Mapa_Selecao!A37</x:f>
        <x:v>G2_APREND</x:v>
      </x:c>
      <x:c r="C55" s="118" t="str">
        <x:f>Mapa_Selecao!B37</x:f>
        <x:v>Gate 2 — Estratégia e Requisitos</x:v>
      </x:c>
      <x:c r="D55" s="118" t="str">
        <x:f>Mapa_Selecao!C37</x:f>
        <x:v>Plano de aprendizagem do conceito</x:v>
      </x:c>
      <x:c r="E55" s="118" t="n">
        <x:f>Mapa_Selecao!G37</x:f>
        <x:v>0</x:v>
      </x:c>
      <x:c r="F55" s="127" t="str">
        <x:f>IF($E55&lt;&gt;1,"",VLOOKUP($C55,$A$14:$F$18,4,FALSE)+ROUND((VLOOKUP($C55,$A$14:$F$18,5,FALSE)-VLOOKUP($C55,$A$14:$F$18,4,FALSE)+1)*($M55-1)/MAX(1,$L55),0))</x:f>
      </x:c>
      <x:c r="G55" s="127" t="str">
        <x:f>IF($E55&lt;&gt;1,"",MIN(VLOOKUP($C55,$A$14:$F$18,5,FALSE),VLOOKUP($C55,$A$14:$F$18,4,FALSE)+ROUND((VLOOKUP($C55,$A$14:$F$18,5,FALSE)-VLOOKUP($C55,$A$14:$F$18,4,FALSE)+1)*$M55/MAX(1,$L55),0)-1))</x:f>
      </x:c>
      <x:c r="H55" s="118" t="str">
        <x:f>IF($E55&lt;&gt;1,"",MAX(1,$G55-$F55+1))</x:f>
      </x:c>
      <x:c r="I55" s="118" t="str"/>
      <x:c r="J55" s="118" t="str">
        <x:v>Não iniciado</x:v>
      </x:c>
      <x:c r="K55" s="118" t="str"/>
      <x:c r="L55" s="118" t="n">
        <x:f>COUNTIFS($C$22:$C$100,$C55,$E$22:$E$100,1)</x:f>
        <x:v>0</x:v>
      </x:c>
      <x:c r="M55" s="118" t="str">
        <x:f>IF($E55=1,COUNTIFS($C$22:C55,$C55,$E$22:E55,1),"")</x:f>
      </x:c>
      <x:c r="N55" s="131" t="str">
        <x:f>IF($E55&lt;&gt;1,"",IF(AND($F55&lt;=N$21,$G55&gt;=N$20),"■",""))</x:f>
      </x:c>
      <x:c r="O55" s="131" t="str">
        <x:f>IF($E55&lt;&gt;1,"",IF(AND($F55&lt;=O$21,$G55&gt;=O$20),"■",""))</x:f>
      </x:c>
      <x:c r="P55" s="131" t="str">
        <x:f>IF($E55&lt;&gt;1,"",IF(AND($F55&lt;=P$21,$G55&gt;=P$20),"■",""))</x:f>
      </x:c>
      <x:c r="Q55" s="131" t="str">
        <x:f>IF($E55&lt;&gt;1,"",IF(AND($F55&lt;=Q$21,$G55&gt;=Q$20),"■",""))</x:f>
      </x:c>
      <x:c r="R55" s="131" t="str">
        <x:f>IF($E55&lt;&gt;1,"",IF(AND($F55&lt;=R$21,$G55&gt;=R$20),"■",""))</x:f>
      </x:c>
      <x:c r="S55" s="131" t="str">
        <x:f>IF($E55&lt;&gt;1,"",IF(AND($F55&lt;=S$21,$G55&gt;=S$20),"■",""))</x:f>
      </x:c>
      <x:c r="T55" s="131" t="str">
        <x:f>IF($E55&lt;&gt;1,"",IF(AND($F55&lt;=T$21,$G55&gt;=T$20),"■",""))</x:f>
      </x:c>
      <x:c r="U55" s="131" t="str">
        <x:f>IF($E55&lt;&gt;1,"",IF(AND($F55&lt;=U$21,$G55&gt;=U$20),"■",""))</x:f>
      </x:c>
      <x:c r="V55" s="131" t="str">
        <x:f>IF($E55&lt;&gt;1,"",IF(AND($F55&lt;=V$21,$G55&gt;=V$20),"■",""))</x:f>
      </x:c>
      <x:c r="W55" s="131" t="str">
        <x:f>IF($E55&lt;&gt;1,"",IF(AND($F55&lt;=W$21,$G55&gt;=W$20),"■",""))</x:f>
      </x:c>
      <x:c r="X55" s="131" t="str">
        <x:f>IF($E55&lt;&gt;1,"",IF(AND($F55&lt;=X$21,$G55&gt;=X$20),"■",""))</x:f>
      </x:c>
      <x:c r="Y55" s="131" t="str">
        <x:f>IF($E55&lt;&gt;1,"",IF(AND($F55&lt;=Y$21,$G55&gt;=Y$20),"■",""))</x:f>
      </x:c>
    </x:row>
    <x:row r="56">
      <x:c r="A56" s="118" t="n">
        <x:f>ROW()-21</x:f>
        <x:v>35</x:v>
      </x:c>
      <x:c r="B56" s="118" t="str">
        <x:f>Mapa_Selecao!A38</x:f>
        <x:v>G2_GONOGO</x:v>
      </x:c>
      <x:c r="C56" s="118" t="str">
        <x:f>Mapa_Selecao!B38</x:f>
        <x:v>Gate 2 — Estratégia e Requisitos</x:v>
      </x:c>
      <x:c r="D56" s="118" t="str">
        <x:f>Mapa_Selecao!C38</x:f>
        <x:v>Matriz Go/No-Go — Gate 2</x:v>
      </x:c>
      <x:c r="E56" s="118" t="n">
        <x:f>Mapa_Selecao!G38</x:f>
        <x:v>0</x:v>
      </x:c>
      <x:c r="F56" s="127" t="str">
        <x:f>IF($E56&lt;&gt;1,"",VLOOKUP($C56,$A$14:$F$18,4,FALSE)+ROUND((VLOOKUP($C56,$A$14:$F$18,5,FALSE)-VLOOKUP($C56,$A$14:$F$18,4,FALSE)+1)*($M56-1)/MAX(1,$L56),0))</x:f>
      </x:c>
      <x:c r="G56" s="127" t="str">
        <x:f>IF($E56&lt;&gt;1,"",MIN(VLOOKUP($C56,$A$14:$F$18,5,FALSE),VLOOKUP($C56,$A$14:$F$18,4,FALSE)+ROUND((VLOOKUP($C56,$A$14:$F$18,5,FALSE)-VLOOKUP($C56,$A$14:$F$18,4,FALSE)+1)*$M56/MAX(1,$L56),0)-1))</x:f>
      </x:c>
      <x:c r="H56" s="118" t="str">
        <x:f>IF($E56&lt;&gt;1,"",MAX(1,$G56-$F56+1))</x:f>
      </x:c>
      <x:c r="I56" s="118" t="str"/>
      <x:c r="J56" s="118" t="str">
        <x:v>Não iniciado</x:v>
      </x:c>
      <x:c r="K56" s="118" t="str"/>
      <x:c r="L56" s="118" t="n">
        <x:f>COUNTIFS($C$22:$C$100,$C56,$E$22:$E$100,1)</x:f>
        <x:v>0</x:v>
      </x:c>
      <x:c r="M56" s="118" t="str">
        <x:f>IF($E56=1,COUNTIFS($C$22:C56,$C56,$E$22:E56,1),"")</x:f>
      </x:c>
      <x:c r="N56" s="131" t="str">
        <x:f>IF($E56&lt;&gt;1,"",IF(AND($F56&lt;=N$21,$G56&gt;=N$20),"■",""))</x:f>
      </x:c>
      <x:c r="O56" s="131" t="str">
        <x:f>IF($E56&lt;&gt;1,"",IF(AND($F56&lt;=O$21,$G56&gt;=O$20),"■",""))</x:f>
      </x:c>
      <x:c r="P56" s="131" t="str">
        <x:f>IF($E56&lt;&gt;1,"",IF(AND($F56&lt;=P$21,$G56&gt;=P$20),"■",""))</x:f>
      </x:c>
      <x:c r="Q56" s="131" t="str">
        <x:f>IF($E56&lt;&gt;1,"",IF(AND($F56&lt;=Q$21,$G56&gt;=Q$20),"■",""))</x:f>
      </x:c>
      <x:c r="R56" s="131" t="str">
        <x:f>IF($E56&lt;&gt;1,"",IF(AND($F56&lt;=R$21,$G56&gt;=R$20),"■",""))</x:f>
      </x:c>
      <x:c r="S56" s="131" t="str">
        <x:f>IF($E56&lt;&gt;1,"",IF(AND($F56&lt;=S$21,$G56&gt;=S$20),"■",""))</x:f>
      </x:c>
      <x:c r="T56" s="131" t="str">
        <x:f>IF($E56&lt;&gt;1,"",IF(AND($F56&lt;=T$21,$G56&gt;=T$20),"■",""))</x:f>
      </x:c>
      <x:c r="U56" s="131" t="str">
        <x:f>IF($E56&lt;&gt;1,"",IF(AND($F56&lt;=U$21,$G56&gt;=U$20),"■",""))</x:f>
      </x:c>
      <x:c r="V56" s="131" t="str">
        <x:f>IF($E56&lt;&gt;1,"",IF(AND($F56&lt;=V$21,$G56&gt;=V$20),"■",""))</x:f>
      </x:c>
      <x:c r="W56" s="131" t="str">
        <x:f>IF($E56&lt;&gt;1,"",IF(AND($F56&lt;=W$21,$G56&gt;=W$20),"■",""))</x:f>
      </x:c>
      <x:c r="X56" s="131" t="str">
        <x:f>IF($E56&lt;&gt;1,"",IF(AND($F56&lt;=X$21,$G56&gt;=X$20),"■",""))</x:f>
      </x:c>
      <x:c r="Y56" s="131" t="str">
        <x:f>IF($E56&lt;&gt;1,"",IF(AND($F56&lt;=Y$21,$G56&gt;=Y$20),"■",""))</x:f>
      </x:c>
    </x:row>
    <x:row r="57">
      <x:c r="A57" s="118" t="n">
        <x:f>ROW()-21</x:f>
        <x:v>36</x:v>
      </x:c>
      <x:c r="B57" s="118" t="str">
        <x:f>Mapa_Selecao!A39</x:f>
        <x:v>G3_BUSCAINT</x:v>
      </x:c>
      <x:c r="C57" s="118" t="str">
        <x:f>Mapa_Selecao!B39</x:f>
        <x:v>Gate 3 — Geração de Alternativas</x:v>
      </x:c>
      <x:c r="D57" s="118" t="str">
        <x:f>Mapa_Selecao!C39</x:f>
        <x:v>Busca interna de soluções</x:v>
      </x:c>
      <x:c r="E57" s="118" t="n">
        <x:f>Mapa_Selecao!G39</x:f>
        <x:v>0</x:v>
      </x:c>
      <x:c r="F57" s="127" t="str">
        <x:f>IF($E57&lt;&gt;1,"",VLOOKUP($C57,$A$14:$F$18,4,FALSE)+ROUND((VLOOKUP($C57,$A$14:$F$18,5,FALSE)-VLOOKUP($C57,$A$14:$F$18,4,FALSE)+1)*($M57-1)/MAX(1,$L57),0))</x:f>
      </x:c>
      <x:c r="G57" s="127" t="str">
        <x:f>IF($E57&lt;&gt;1,"",MIN(VLOOKUP($C57,$A$14:$F$18,5,FALSE),VLOOKUP($C57,$A$14:$F$18,4,FALSE)+ROUND((VLOOKUP($C57,$A$14:$F$18,5,FALSE)-VLOOKUP($C57,$A$14:$F$18,4,FALSE)+1)*$M57/MAX(1,$L57),0)-1))</x:f>
      </x:c>
      <x:c r="H57" s="118" t="str">
        <x:f>IF($E57&lt;&gt;1,"",MAX(1,$G57-$F57+1))</x:f>
      </x:c>
      <x:c r="I57" s="118" t="str"/>
      <x:c r="J57" s="118" t="str">
        <x:v>Não iniciado</x:v>
      </x:c>
      <x:c r="K57" s="118" t="str"/>
      <x:c r="L57" s="118" t="n">
        <x:f>COUNTIFS($C$22:$C$100,$C57,$E$22:$E$100,1)</x:f>
        <x:v>0</x:v>
      </x:c>
      <x:c r="M57" s="118" t="str">
        <x:f>IF($E57=1,COUNTIFS($C$22:C57,$C57,$E$22:E57,1),"")</x:f>
      </x:c>
      <x:c r="N57" s="131" t="str">
        <x:f>IF($E57&lt;&gt;1,"",IF(AND($F57&lt;=N$21,$G57&gt;=N$20),"■",""))</x:f>
      </x:c>
      <x:c r="O57" s="131" t="str">
        <x:f>IF($E57&lt;&gt;1,"",IF(AND($F57&lt;=O$21,$G57&gt;=O$20),"■",""))</x:f>
      </x:c>
      <x:c r="P57" s="131" t="str">
        <x:f>IF($E57&lt;&gt;1,"",IF(AND($F57&lt;=P$21,$G57&gt;=P$20),"■",""))</x:f>
      </x:c>
      <x:c r="Q57" s="131" t="str">
        <x:f>IF($E57&lt;&gt;1,"",IF(AND($F57&lt;=Q$21,$G57&gt;=Q$20),"■",""))</x:f>
      </x:c>
      <x:c r="R57" s="131" t="str">
        <x:f>IF($E57&lt;&gt;1,"",IF(AND($F57&lt;=R$21,$G57&gt;=R$20),"■",""))</x:f>
      </x:c>
      <x:c r="S57" s="131" t="str">
        <x:f>IF($E57&lt;&gt;1,"",IF(AND($F57&lt;=S$21,$G57&gt;=S$20),"■",""))</x:f>
      </x:c>
      <x:c r="T57" s="131" t="str">
        <x:f>IF($E57&lt;&gt;1,"",IF(AND($F57&lt;=T$21,$G57&gt;=T$20),"■",""))</x:f>
      </x:c>
      <x:c r="U57" s="131" t="str">
        <x:f>IF($E57&lt;&gt;1,"",IF(AND($F57&lt;=U$21,$G57&gt;=U$20),"■",""))</x:f>
      </x:c>
      <x:c r="V57" s="131" t="str">
        <x:f>IF($E57&lt;&gt;1,"",IF(AND($F57&lt;=V$21,$G57&gt;=V$20),"■",""))</x:f>
      </x:c>
      <x:c r="W57" s="131" t="str">
        <x:f>IF($E57&lt;&gt;1,"",IF(AND($F57&lt;=W$21,$G57&gt;=W$20),"■",""))</x:f>
      </x:c>
      <x:c r="X57" s="131" t="str">
        <x:f>IF($E57&lt;&gt;1,"",IF(AND($F57&lt;=X$21,$G57&gt;=X$20),"■",""))</x:f>
      </x:c>
      <x:c r="Y57" s="131" t="str">
        <x:f>IF($E57&lt;&gt;1,"",IF(AND($F57&lt;=Y$21,$G57&gt;=Y$20),"■",""))</x:f>
      </x:c>
    </x:row>
    <x:row r="58">
      <x:c r="A58" s="118" t="n">
        <x:f>ROW()-21</x:f>
        <x:v>37</x:v>
      </x:c>
      <x:c r="B58" s="118" t="str">
        <x:f>Mapa_Selecao!A40</x:f>
        <x:v>G3_BUSCAEXT</x:v>
      </x:c>
      <x:c r="C58" s="118" t="str">
        <x:f>Mapa_Selecao!B40</x:f>
        <x:v>Gate 3 — Geração de Alternativas</x:v>
      </x:c>
      <x:c r="D58" s="118" t="str">
        <x:f>Mapa_Selecao!C40</x:f>
        <x:v>Busca externa de soluções</x:v>
      </x:c>
      <x:c r="E58" s="118" t="n">
        <x:f>Mapa_Selecao!G40</x:f>
        <x:v>0</x:v>
      </x:c>
      <x:c r="F58" s="127" t="str">
        <x:f>IF($E58&lt;&gt;1,"",VLOOKUP($C58,$A$14:$F$18,4,FALSE)+ROUND((VLOOKUP($C58,$A$14:$F$18,5,FALSE)-VLOOKUP($C58,$A$14:$F$18,4,FALSE)+1)*($M58-1)/MAX(1,$L58),0))</x:f>
      </x:c>
      <x:c r="G58" s="127" t="str">
        <x:f>IF($E58&lt;&gt;1,"",MIN(VLOOKUP($C58,$A$14:$F$18,5,FALSE),VLOOKUP($C58,$A$14:$F$18,4,FALSE)+ROUND((VLOOKUP($C58,$A$14:$F$18,5,FALSE)-VLOOKUP($C58,$A$14:$F$18,4,FALSE)+1)*$M58/MAX(1,$L58),0)-1))</x:f>
      </x:c>
      <x:c r="H58" s="118" t="str">
        <x:f>IF($E58&lt;&gt;1,"",MAX(1,$G58-$F58+1))</x:f>
      </x:c>
      <x:c r="I58" s="118" t="str"/>
      <x:c r="J58" s="118" t="str">
        <x:v>Não iniciado</x:v>
      </x:c>
      <x:c r="K58" s="118" t="str"/>
      <x:c r="L58" s="118" t="n">
        <x:f>COUNTIFS($C$22:$C$100,$C58,$E$22:$E$100,1)</x:f>
        <x:v>0</x:v>
      </x:c>
      <x:c r="M58" s="118" t="str">
        <x:f>IF($E58=1,COUNTIFS($C$22:C58,$C58,$E$22:E58,1),"")</x:f>
      </x:c>
      <x:c r="N58" s="131" t="str">
        <x:f>IF($E58&lt;&gt;1,"",IF(AND($F58&lt;=N$21,$G58&gt;=N$20),"■",""))</x:f>
      </x:c>
      <x:c r="O58" s="131" t="str">
        <x:f>IF($E58&lt;&gt;1,"",IF(AND($F58&lt;=O$21,$G58&gt;=O$20),"■",""))</x:f>
      </x:c>
      <x:c r="P58" s="131" t="str">
        <x:f>IF($E58&lt;&gt;1,"",IF(AND($F58&lt;=P$21,$G58&gt;=P$20),"■",""))</x:f>
      </x:c>
      <x:c r="Q58" s="131" t="str">
        <x:f>IF($E58&lt;&gt;1,"",IF(AND($F58&lt;=Q$21,$G58&gt;=Q$20),"■",""))</x:f>
      </x:c>
      <x:c r="R58" s="131" t="str">
        <x:f>IF($E58&lt;&gt;1,"",IF(AND($F58&lt;=R$21,$G58&gt;=R$20),"■",""))</x:f>
      </x:c>
      <x:c r="S58" s="131" t="str">
        <x:f>IF($E58&lt;&gt;1,"",IF(AND($F58&lt;=S$21,$G58&gt;=S$20),"■",""))</x:f>
      </x:c>
      <x:c r="T58" s="131" t="str">
        <x:f>IF($E58&lt;&gt;1,"",IF(AND($F58&lt;=T$21,$G58&gt;=T$20),"■",""))</x:f>
      </x:c>
      <x:c r="U58" s="131" t="str">
        <x:f>IF($E58&lt;&gt;1,"",IF(AND($F58&lt;=U$21,$G58&gt;=U$20),"■",""))</x:f>
      </x:c>
      <x:c r="V58" s="131" t="str">
        <x:f>IF($E58&lt;&gt;1,"",IF(AND($F58&lt;=V$21,$G58&gt;=V$20),"■",""))</x:f>
      </x:c>
      <x:c r="W58" s="131" t="str">
        <x:f>IF($E58&lt;&gt;1,"",IF(AND($F58&lt;=W$21,$G58&gt;=W$20),"■",""))</x:f>
      </x:c>
      <x:c r="X58" s="131" t="str">
        <x:f>IF($E58&lt;&gt;1,"",IF(AND($F58&lt;=X$21,$G58&gt;=X$20),"■",""))</x:f>
      </x:c>
      <x:c r="Y58" s="131" t="str">
        <x:f>IF($E58&lt;&gt;1,"",IF(AND($F58&lt;=Y$21,$G58&gt;=Y$20),"■",""))</x:f>
      </x:c>
    </x:row>
    <x:row r="59">
      <x:c r="A59" s="118" t="n">
        <x:f>ROW()-21</x:f>
        <x:v>38</x:v>
      </x:c>
      <x:c r="B59" s="118" t="str">
        <x:f>Mapa_Selecao!A41</x:f>
        <x:v>G3_MENTAL</x:v>
      </x:c>
      <x:c r="C59" s="118" t="str">
        <x:f>Mapa_Selecao!B41</x:f>
        <x:v>Gate 3 — Geração de Alternativas</x:v>
      </x:c>
      <x:c r="D59" s="118" t="str">
        <x:f>Mapa_Selecao!C41</x:f>
        <x:v>Mapa mental</x:v>
      </x:c>
      <x:c r="E59" s="118" t="n">
        <x:f>Mapa_Selecao!G41</x:f>
        <x:v>0</x:v>
      </x:c>
      <x:c r="F59" s="127" t="str">
        <x:f>IF($E59&lt;&gt;1,"",VLOOKUP($C59,$A$14:$F$18,4,FALSE)+ROUND((VLOOKUP($C59,$A$14:$F$18,5,FALSE)-VLOOKUP($C59,$A$14:$F$18,4,FALSE)+1)*($M59-1)/MAX(1,$L59),0))</x:f>
      </x:c>
      <x:c r="G59" s="127" t="str">
        <x:f>IF($E59&lt;&gt;1,"",MIN(VLOOKUP($C59,$A$14:$F$18,5,FALSE),VLOOKUP($C59,$A$14:$F$18,4,FALSE)+ROUND((VLOOKUP($C59,$A$14:$F$18,5,FALSE)-VLOOKUP($C59,$A$14:$F$18,4,FALSE)+1)*$M59/MAX(1,$L59),0)-1))</x:f>
      </x:c>
      <x:c r="H59" s="118" t="str">
        <x:f>IF($E59&lt;&gt;1,"",MAX(1,$G59-$F59+1))</x:f>
      </x:c>
      <x:c r="I59" s="118" t="str"/>
      <x:c r="J59" s="118" t="str">
        <x:v>Não iniciado</x:v>
      </x:c>
      <x:c r="K59" s="118" t="str"/>
      <x:c r="L59" s="118" t="n">
        <x:f>COUNTIFS($C$22:$C$100,$C59,$E$22:$E$100,1)</x:f>
        <x:v>0</x:v>
      </x:c>
      <x:c r="M59" s="118" t="str">
        <x:f>IF($E59=1,COUNTIFS($C$22:C59,$C59,$E$22:E59,1),"")</x:f>
      </x:c>
      <x:c r="N59" s="131" t="str">
        <x:f>IF($E59&lt;&gt;1,"",IF(AND($F59&lt;=N$21,$G59&gt;=N$20),"■",""))</x:f>
      </x:c>
      <x:c r="O59" s="131" t="str">
        <x:f>IF($E59&lt;&gt;1,"",IF(AND($F59&lt;=O$21,$G59&gt;=O$20),"■",""))</x:f>
      </x:c>
      <x:c r="P59" s="131" t="str">
        <x:f>IF($E59&lt;&gt;1,"",IF(AND($F59&lt;=P$21,$G59&gt;=P$20),"■",""))</x:f>
      </x:c>
      <x:c r="Q59" s="131" t="str">
        <x:f>IF($E59&lt;&gt;1,"",IF(AND($F59&lt;=Q$21,$G59&gt;=Q$20),"■",""))</x:f>
      </x:c>
      <x:c r="R59" s="131" t="str">
        <x:f>IF($E59&lt;&gt;1,"",IF(AND($F59&lt;=R$21,$G59&gt;=R$20),"■",""))</x:f>
      </x:c>
      <x:c r="S59" s="131" t="str">
        <x:f>IF($E59&lt;&gt;1,"",IF(AND($F59&lt;=S$21,$G59&gt;=S$20),"■",""))</x:f>
      </x:c>
      <x:c r="T59" s="131" t="str">
        <x:f>IF($E59&lt;&gt;1,"",IF(AND($F59&lt;=T$21,$G59&gt;=T$20),"■",""))</x:f>
      </x:c>
      <x:c r="U59" s="131" t="str">
        <x:f>IF($E59&lt;&gt;1,"",IF(AND($F59&lt;=U$21,$G59&gt;=U$20),"■",""))</x:f>
      </x:c>
      <x:c r="V59" s="131" t="str">
        <x:f>IF($E59&lt;&gt;1,"",IF(AND($F59&lt;=V$21,$G59&gt;=V$20),"■",""))</x:f>
      </x:c>
      <x:c r="W59" s="131" t="str">
        <x:f>IF($E59&lt;&gt;1,"",IF(AND($F59&lt;=W$21,$G59&gt;=W$20),"■",""))</x:f>
      </x:c>
      <x:c r="X59" s="131" t="str">
        <x:f>IF($E59&lt;&gt;1,"",IF(AND($F59&lt;=X$21,$G59&gt;=X$20),"■",""))</x:f>
      </x:c>
      <x:c r="Y59" s="131" t="str">
        <x:f>IF($E59&lt;&gt;1,"",IF(AND($F59&lt;=Y$21,$G59&gt;=Y$20),"■",""))</x:f>
      </x:c>
    </x:row>
    <x:row r="60">
      <x:c r="A60" s="118" t="n">
        <x:f>ROW()-21</x:f>
        <x:v>39</x:v>
      </x:c>
      <x:c r="B60" s="118" t="str">
        <x:f>Mapa_Selecao!A42</x:f>
        <x:v>G3_DECOMP</x:v>
      </x:c>
      <x:c r="C60" s="118" t="str">
        <x:f>Mapa_Selecao!B42</x:f>
        <x:v>Gate 3 — Geração de Alternativas</x:v>
      </x:c>
      <x:c r="D60" s="118" t="str">
        <x:f>Mapa_Selecao!C42</x:f>
        <x:v>Decomposição funcional</x:v>
      </x:c>
      <x:c r="E60" s="118" t="n">
        <x:f>Mapa_Selecao!G42</x:f>
        <x:v>0</x:v>
      </x:c>
      <x:c r="F60" s="127" t="str">
        <x:f>IF($E60&lt;&gt;1,"",VLOOKUP($C60,$A$14:$F$18,4,FALSE)+ROUND((VLOOKUP($C60,$A$14:$F$18,5,FALSE)-VLOOKUP($C60,$A$14:$F$18,4,FALSE)+1)*($M60-1)/MAX(1,$L60),0))</x:f>
      </x:c>
      <x:c r="G60" s="127" t="str">
        <x:f>IF($E60&lt;&gt;1,"",MIN(VLOOKUP($C60,$A$14:$F$18,5,FALSE),VLOOKUP($C60,$A$14:$F$18,4,FALSE)+ROUND((VLOOKUP($C60,$A$14:$F$18,5,FALSE)-VLOOKUP($C60,$A$14:$F$18,4,FALSE)+1)*$M60/MAX(1,$L60),0)-1))</x:f>
      </x:c>
      <x:c r="H60" s="118" t="str">
        <x:f>IF($E60&lt;&gt;1,"",MAX(1,$G60-$F60+1))</x:f>
      </x:c>
      <x:c r="I60" s="118" t="str"/>
      <x:c r="J60" s="118" t="str">
        <x:v>Não iniciado</x:v>
      </x:c>
      <x:c r="K60" s="118" t="str"/>
      <x:c r="L60" s="118" t="n">
        <x:f>COUNTIFS($C$22:$C$100,$C60,$E$22:$E$100,1)</x:f>
        <x:v>0</x:v>
      </x:c>
      <x:c r="M60" s="118" t="str">
        <x:f>IF($E60=1,COUNTIFS($C$22:C60,$C60,$E$22:E60,1),"")</x:f>
      </x:c>
      <x:c r="N60" s="131" t="str">
        <x:f>IF($E60&lt;&gt;1,"",IF(AND($F60&lt;=N$21,$G60&gt;=N$20),"■",""))</x:f>
      </x:c>
      <x:c r="O60" s="131" t="str">
        <x:f>IF($E60&lt;&gt;1,"",IF(AND($F60&lt;=O$21,$G60&gt;=O$20),"■",""))</x:f>
      </x:c>
      <x:c r="P60" s="131" t="str">
        <x:f>IF($E60&lt;&gt;1,"",IF(AND($F60&lt;=P$21,$G60&gt;=P$20),"■",""))</x:f>
      </x:c>
      <x:c r="Q60" s="131" t="str">
        <x:f>IF($E60&lt;&gt;1,"",IF(AND($F60&lt;=Q$21,$G60&gt;=Q$20),"■",""))</x:f>
      </x:c>
      <x:c r="R60" s="131" t="str">
        <x:f>IF($E60&lt;&gt;1,"",IF(AND($F60&lt;=R$21,$G60&gt;=R$20),"■",""))</x:f>
      </x:c>
      <x:c r="S60" s="131" t="str">
        <x:f>IF($E60&lt;&gt;1,"",IF(AND($F60&lt;=S$21,$G60&gt;=S$20),"■",""))</x:f>
      </x:c>
      <x:c r="T60" s="131" t="str">
        <x:f>IF($E60&lt;&gt;1,"",IF(AND($F60&lt;=T$21,$G60&gt;=T$20),"■",""))</x:f>
      </x:c>
      <x:c r="U60" s="131" t="str">
        <x:f>IF($E60&lt;&gt;1,"",IF(AND($F60&lt;=U$21,$G60&gt;=U$20),"■",""))</x:f>
      </x:c>
      <x:c r="V60" s="131" t="str">
        <x:f>IF($E60&lt;&gt;1,"",IF(AND($F60&lt;=V$21,$G60&gt;=V$20),"■",""))</x:f>
      </x:c>
      <x:c r="W60" s="131" t="str">
        <x:f>IF($E60&lt;&gt;1,"",IF(AND($F60&lt;=W$21,$G60&gt;=W$20),"■",""))</x:f>
      </x:c>
      <x:c r="X60" s="131" t="str">
        <x:f>IF($E60&lt;&gt;1,"",IF(AND($F60&lt;=X$21,$G60&gt;=X$20),"■",""))</x:f>
      </x:c>
      <x:c r="Y60" s="131" t="str">
        <x:f>IF($E60&lt;&gt;1,"",IF(AND($F60&lt;=Y$21,$G60&gt;=Y$20),"■",""))</x:f>
      </x:c>
    </x:row>
    <x:row r="61">
      <x:c r="A61" s="118" t="n">
        <x:f>ROW()-21</x:f>
        <x:v>40</x:v>
      </x:c>
      <x:c r="B61" s="118" t="str">
        <x:f>Mapa_Selecao!A43</x:f>
        <x:v>G3_BRAIN</x:v>
      </x:c>
      <x:c r="C61" s="118" t="str">
        <x:f>Mapa_Selecao!B43</x:f>
        <x:v>Gate 3 — Geração de Alternativas</x:v>
      </x:c>
      <x:c r="D61" s="118" t="str">
        <x:f>Mapa_Selecao!C43</x:f>
        <x:v>Brainstorming estruturado</x:v>
      </x:c>
      <x:c r="E61" s="118" t="n">
        <x:f>Mapa_Selecao!G43</x:f>
        <x:v>0</x:v>
      </x:c>
      <x:c r="F61" s="127" t="str">
        <x:f>IF($E61&lt;&gt;1,"",VLOOKUP($C61,$A$14:$F$18,4,FALSE)+ROUND((VLOOKUP($C61,$A$14:$F$18,5,FALSE)-VLOOKUP($C61,$A$14:$F$18,4,FALSE)+1)*($M61-1)/MAX(1,$L61),0))</x:f>
      </x:c>
      <x:c r="G61" s="127" t="str">
        <x:f>IF($E61&lt;&gt;1,"",MIN(VLOOKUP($C61,$A$14:$F$18,5,FALSE),VLOOKUP($C61,$A$14:$F$18,4,FALSE)+ROUND((VLOOKUP($C61,$A$14:$F$18,5,FALSE)-VLOOKUP($C61,$A$14:$F$18,4,FALSE)+1)*$M61/MAX(1,$L61),0)-1))</x:f>
      </x:c>
      <x:c r="H61" s="118" t="str">
        <x:f>IF($E61&lt;&gt;1,"",MAX(1,$G61-$F61+1))</x:f>
      </x:c>
      <x:c r="I61" s="118" t="str"/>
      <x:c r="J61" s="118" t="str">
        <x:v>Não iniciado</x:v>
      </x:c>
      <x:c r="K61" s="118" t="str"/>
      <x:c r="L61" s="118" t="n">
        <x:f>COUNTIFS($C$22:$C$100,$C61,$E$22:$E$100,1)</x:f>
        <x:v>0</x:v>
      </x:c>
      <x:c r="M61" s="118" t="str">
        <x:f>IF($E61=1,COUNTIFS($C$22:C61,$C61,$E$22:E61,1),"")</x:f>
      </x:c>
      <x:c r="N61" s="131" t="str">
        <x:f>IF($E61&lt;&gt;1,"",IF(AND($F61&lt;=N$21,$G61&gt;=N$20),"■",""))</x:f>
      </x:c>
      <x:c r="O61" s="131" t="str">
        <x:f>IF($E61&lt;&gt;1,"",IF(AND($F61&lt;=O$21,$G61&gt;=O$20),"■",""))</x:f>
      </x:c>
      <x:c r="P61" s="131" t="str">
        <x:f>IF($E61&lt;&gt;1,"",IF(AND($F61&lt;=P$21,$G61&gt;=P$20),"■",""))</x:f>
      </x:c>
      <x:c r="Q61" s="131" t="str">
        <x:f>IF($E61&lt;&gt;1,"",IF(AND($F61&lt;=Q$21,$G61&gt;=Q$20),"■",""))</x:f>
      </x:c>
      <x:c r="R61" s="131" t="str">
        <x:f>IF($E61&lt;&gt;1,"",IF(AND($F61&lt;=R$21,$G61&gt;=R$20),"■",""))</x:f>
      </x:c>
      <x:c r="S61" s="131" t="str">
        <x:f>IF($E61&lt;&gt;1,"",IF(AND($F61&lt;=S$21,$G61&gt;=S$20),"■",""))</x:f>
      </x:c>
      <x:c r="T61" s="131" t="str">
        <x:f>IF($E61&lt;&gt;1,"",IF(AND($F61&lt;=T$21,$G61&gt;=T$20),"■",""))</x:f>
      </x:c>
      <x:c r="U61" s="131" t="str">
        <x:f>IF($E61&lt;&gt;1,"",IF(AND($F61&lt;=U$21,$G61&gt;=U$20),"■",""))</x:f>
      </x:c>
      <x:c r="V61" s="131" t="str">
        <x:f>IF($E61&lt;&gt;1,"",IF(AND($F61&lt;=V$21,$G61&gt;=V$20),"■",""))</x:f>
      </x:c>
      <x:c r="W61" s="131" t="str">
        <x:f>IF($E61&lt;&gt;1,"",IF(AND($F61&lt;=W$21,$G61&gt;=W$20),"■",""))</x:f>
      </x:c>
      <x:c r="X61" s="131" t="str">
        <x:f>IF($E61&lt;&gt;1,"",IF(AND($F61&lt;=X$21,$G61&gt;=X$20),"■",""))</x:f>
      </x:c>
      <x:c r="Y61" s="131" t="str">
        <x:f>IF($E61&lt;&gt;1,"",IF(AND($F61&lt;=Y$21,$G61&gt;=Y$20),"■",""))</x:f>
      </x:c>
    </x:row>
    <x:row r="62">
      <x:c r="A62" s="118" t="n">
        <x:f>ROW()-21</x:f>
        <x:v>41</x:v>
      </x:c>
      <x:c r="B62" s="118" t="str">
        <x:f>Mapa_Selecao!A44</x:f>
        <x:v>G3_SCAMPER</x:v>
      </x:c>
      <x:c r="C62" s="118" t="str">
        <x:f>Mapa_Selecao!B44</x:f>
        <x:v>Gate 3 — Geração de Alternativas</x:v>
      </x:c>
      <x:c r="D62" s="118" t="str">
        <x:f>Mapa_Selecao!C44</x:f>
        <x:v>SCAMPER</x:v>
      </x:c>
      <x:c r="E62" s="118" t="n">
        <x:f>Mapa_Selecao!G44</x:f>
        <x:v>0</x:v>
      </x:c>
      <x:c r="F62" s="127" t="str">
        <x:f>IF($E62&lt;&gt;1,"",VLOOKUP($C62,$A$14:$F$18,4,FALSE)+ROUND((VLOOKUP($C62,$A$14:$F$18,5,FALSE)-VLOOKUP($C62,$A$14:$F$18,4,FALSE)+1)*($M62-1)/MAX(1,$L62),0))</x:f>
      </x:c>
      <x:c r="G62" s="127" t="str">
        <x:f>IF($E62&lt;&gt;1,"",MIN(VLOOKUP($C62,$A$14:$F$18,5,FALSE),VLOOKUP($C62,$A$14:$F$18,4,FALSE)+ROUND((VLOOKUP($C62,$A$14:$F$18,5,FALSE)-VLOOKUP($C62,$A$14:$F$18,4,FALSE)+1)*$M62/MAX(1,$L62),0)-1))</x:f>
      </x:c>
      <x:c r="H62" s="118" t="str">
        <x:f>IF($E62&lt;&gt;1,"",MAX(1,$G62-$F62+1))</x:f>
      </x:c>
      <x:c r="I62" s="118" t="str"/>
      <x:c r="J62" s="118" t="str">
        <x:v>Não iniciado</x:v>
      </x:c>
      <x:c r="K62" s="118" t="str"/>
      <x:c r="L62" s="118" t="n">
        <x:f>COUNTIFS($C$22:$C$100,$C62,$E$22:$E$100,1)</x:f>
        <x:v>0</x:v>
      </x:c>
      <x:c r="M62" s="118" t="str">
        <x:f>IF($E62=1,COUNTIFS($C$22:C62,$C62,$E$22:E62,1),"")</x:f>
      </x:c>
      <x:c r="N62" s="131" t="str">
        <x:f>IF($E62&lt;&gt;1,"",IF(AND($F62&lt;=N$21,$G62&gt;=N$20),"■",""))</x:f>
      </x:c>
      <x:c r="O62" s="131" t="str">
        <x:f>IF($E62&lt;&gt;1,"",IF(AND($F62&lt;=O$21,$G62&gt;=O$20),"■",""))</x:f>
      </x:c>
      <x:c r="P62" s="131" t="str">
        <x:f>IF($E62&lt;&gt;1,"",IF(AND($F62&lt;=P$21,$G62&gt;=P$20),"■",""))</x:f>
      </x:c>
      <x:c r="Q62" s="131" t="str">
        <x:f>IF($E62&lt;&gt;1,"",IF(AND($F62&lt;=Q$21,$G62&gt;=Q$20),"■",""))</x:f>
      </x:c>
      <x:c r="R62" s="131" t="str">
        <x:f>IF($E62&lt;&gt;1,"",IF(AND($F62&lt;=R$21,$G62&gt;=R$20),"■",""))</x:f>
      </x:c>
      <x:c r="S62" s="131" t="str">
        <x:f>IF($E62&lt;&gt;1,"",IF(AND($F62&lt;=S$21,$G62&gt;=S$20),"■",""))</x:f>
      </x:c>
      <x:c r="T62" s="131" t="str">
        <x:f>IF($E62&lt;&gt;1,"",IF(AND($F62&lt;=T$21,$G62&gt;=T$20),"■",""))</x:f>
      </x:c>
      <x:c r="U62" s="131" t="str">
        <x:f>IF($E62&lt;&gt;1,"",IF(AND($F62&lt;=U$21,$G62&gt;=U$20),"■",""))</x:f>
      </x:c>
      <x:c r="V62" s="131" t="str">
        <x:f>IF($E62&lt;&gt;1,"",IF(AND($F62&lt;=V$21,$G62&gt;=V$20),"■",""))</x:f>
      </x:c>
      <x:c r="W62" s="131" t="str">
        <x:f>IF($E62&lt;&gt;1,"",IF(AND($F62&lt;=W$21,$G62&gt;=W$20),"■",""))</x:f>
      </x:c>
      <x:c r="X62" s="131" t="str">
        <x:f>IF($E62&lt;&gt;1,"",IF(AND($F62&lt;=X$21,$G62&gt;=X$20),"■",""))</x:f>
      </x:c>
      <x:c r="Y62" s="131" t="str">
        <x:f>IF($E62&lt;&gt;1,"",IF(AND($F62&lt;=Y$21,$G62&gt;=Y$20),"■",""))</x:f>
      </x:c>
    </x:row>
    <x:row r="63">
      <x:c r="A63" s="118" t="n">
        <x:f>ROW()-21</x:f>
        <x:v>42</x:v>
      </x:c>
      <x:c r="B63" s="118" t="str">
        <x:f>Mapa_Selecao!A45</x:f>
        <x:v>G3_TRIZ</x:v>
      </x:c>
      <x:c r="C63" s="118" t="str">
        <x:f>Mapa_Selecao!B45</x:f>
        <x:v>Gate 3 — Geração de Alternativas</x:v>
      </x:c>
      <x:c r="D63" s="118" t="str">
        <x:f>Mapa_Selecao!C45</x:f>
        <x:v>TRIZ conceitual</x:v>
      </x:c>
      <x:c r="E63" s="118" t="n">
        <x:f>Mapa_Selecao!G45</x:f>
        <x:v>0</x:v>
      </x:c>
      <x:c r="F63" s="127" t="str">
        <x:f>IF($E63&lt;&gt;1,"",VLOOKUP($C63,$A$14:$F$18,4,FALSE)+ROUND((VLOOKUP($C63,$A$14:$F$18,5,FALSE)-VLOOKUP($C63,$A$14:$F$18,4,FALSE)+1)*($M63-1)/MAX(1,$L63),0))</x:f>
      </x:c>
      <x:c r="G63" s="127" t="str">
        <x:f>IF($E63&lt;&gt;1,"",MIN(VLOOKUP($C63,$A$14:$F$18,5,FALSE),VLOOKUP($C63,$A$14:$F$18,4,FALSE)+ROUND((VLOOKUP($C63,$A$14:$F$18,5,FALSE)-VLOOKUP($C63,$A$14:$F$18,4,FALSE)+1)*$M63/MAX(1,$L63),0)-1))</x:f>
      </x:c>
      <x:c r="H63" s="118" t="str">
        <x:f>IF($E63&lt;&gt;1,"",MAX(1,$G63-$F63+1))</x:f>
      </x:c>
      <x:c r="I63" s="118" t="str"/>
      <x:c r="J63" s="118" t="str">
        <x:v>Não iniciado</x:v>
      </x:c>
      <x:c r="K63" s="118" t="str"/>
      <x:c r="L63" s="118" t="n">
        <x:f>COUNTIFS($C$22:$C$100,$C63,$E$22:$E$100,1)</x:f>
        <x:v>0</x:v>
      </x:c>
      <x:c r="M63" s="118" t="str">
        <x:f>IF($E63=1,COUNTIFS($C$22:C63,$C63,$E$22:E63,1),"")</x:f>
      </x:c>
      <x:c r="N63" s="131" t="str">
        <x:f>IF($E63&lt;&gt;1,"",IF(AND($F63&lt;=N$21,$G63&gt;=N$20),"■",""))</x:f>
      </x:c>
      <x:c r="O63" s="131" t="str">
        <x:f>IF($E63&lt;&gt;1,"",IF(AND($F63&lt;=O$21,$G63&gt;=O$20),"■",""))</x:f>
      </x:c>
      <x:c r="P63" s="131" t="str">
        <x:f>IF($E63&lt;&gt;1,"",IF(AND($F63&lt;=P$21,$G63&gt;=P$20),"■",""))</x:f>
      </x:c>
      <x:c r="Q63" s="131" t="str">
        <x:f>IF($E63&lt;&gt;1,"",IF(AND($F63&lt;=Q$21,$G63&gt;=Q$20),"■",""))</x:f>
      </x:c>
      <x:c r="R63" s="131" t="str">
        <x:f>IF($E63&lt;&gt;1,"",IF(AND($F63&lt;=R$21,$G63&gt;=R$20),"■",""))</x:f>
      </x:c>
      <x:c r="S63" s="131" t="str">
        <x:f>IF($E63&lt;&gt;1,"",IF(AND($F63&lt;=S$21,$G63&gt;=S$20),"■",""))</x:f>
      </x:c>
      <x:c r="T63" s="131" t="str">
        <x:f>IF($E63&lt;&gt;1,"",IF(AND($F63&lt;=T$21,$G63&gt;=T$20),"■",""))</x:f>
      </x:c>
      <x:c r="U63" s="131" t="str">
        <x:f>IF($E63&lt;&gt;1,"",IF(AND($F63&lt;=U$21,$G63&gt;=U$20),"■",""))</x:f>
      </x:c>
      <x:c r="V63" s="131" t="str">
        <x:f>IF($E63&lt;&gt;1,"",IF(AND($F63&lt;=V$21,$G63&gt;=V$20),"■",""))</x:f>
      </x:c>
      <x:c r="W63" s="131" t="str">
        <x:f>IF($E63&lt;&gt;1,"",IF(AND($F63&lt;=W$21,$G63&gt;=W$20),"■",""))</x:f>
      </x:c>
      <x:c r="X63" s="131" t="str">
        <x:f>IF($E63&lt;&gt;1,"",IF(AND($F63&lt;=X$21,$G63&gt;=X$20),"■",""))</x:f>
      </x:c>
      <x:c r="Y63" s="131" t="str">
        <x:f>IF($E63&lt;&gt;1,"",IF(AND($F63&lt;=Y$21,$G63&gt;=Y$20),"■",""))</x:f>
      </x:c>
    </x:row>
    <x:row r="64">
      <x:c r="A64" s="118" t="n">
        <x:f>ROW()-21</x:f>
        <x:v>43</x:v>
      </x:c>
      <x:c r="B64" s="118" t="str">
        <x:f>Mapa_Selecao!A46</x:f>
        <x:v>G3_MORFO</x:v>
      </x:c>
      <x:c r="C64" s="118" t="str">
        <x:f>Mapa_Selecao!B46</x:f>
        <x:v>Gate 3 — Geração de Alternativas</x:v>
      </x:c>
      <x:c r="D64" s="118" t="str">
        <x:f>Mapa_Selecao!C46</x:f>
        <x:v>Matriz morfológica</x:v>
      </x:c>
      <x:c r="E64" s="118" t="n">
        <x:f>Mapa_Selecao!G46</x:f>
        <x:v>0</x:v>
      </x:c>
      <x:c r="F64" s="127" t="str">
        <x:f>IF($E64&lt;&gt;1,"",VLOOKUP($C64,$A$14:$F$18,4,FALSE)+ROUND((VLOOKUP($C64,$A$14:$F$18,5,FALSE)-VLOOKUP($C64,$A$14:$F$18,4,FALSE)+1)*($M64-1)/MAX(1,$L64),0))</x:f>
      </x:c>
      <x:c r="G64" s="127" t="str">
        <x:f>IF($E64&lt;&gt;1,"",MIN(VLOOKUP($C64,$A$14:$F$18,5,FALSE),VLOOKUP($C64,$A$14:$F$18,4,FALSE)+ROUND((VLOOKUP($C64,$A$14:$F$18,5,FALSE)-VLOOKUP($C64,$A$14:$F$18,4,FALSE)+1)*$M64/MAX(1,$L64),0)-1))</x:f>
      </x:c>
      <x:c r="H64" s="118" t="str">
        <x:f>IF($E64&lt;&gt;1,"",MAX(1,$G64-$F64+1))</x:f>
      </x:c>
      <x:c r="I64" s="118" t="str"/>
      <x:c r="J64" s="118" t="str">
        <x:v>Não iniciado</x:v>
      </x:c>
      <x:c r="K64" s="118" t="str"/>
      <x:c r="L64" s="118" t="n">
        <x:f>COUNTIFS($C$22:$C$100,$C64,$E$22:$E$100,1)</x:f>
        <x:v>0</x:v>
      </x:c>
      <x:c r="M64" s="118" t="str">
        <x:f>IF($E64=1,COUNTIFS($C$22:C64,$C64,$E$22:E64,1),"")</x:f>
      </x:c>
      <x:c r="N64" s="131" t="str">
        <x:f>IF($E64&lt;&gt;1,"",IF(AND($F64&lt;=N$21,$G64&gt;=N$20),"■",""))</x:f>
      </x:c>
      <x:c r="O64" s="131" t="str">
        <x:f>IF($E64&lt;&gt;1,"",IF(AND($F64&lt;=O$21,$G64&gt;=O$20),"■",""))</x:f>
      </x:c>
      <x:c r="P64" s="131" t="str">
        <x:f>IF($E64&lt;&gt;1,"",IF(AND($F64&lt;=P$21,$G64&gt;=P$20),"■",""))</x:f>
      </x:c>
      <x:c r="Q64" s="131" t="str">
        <x:f>IF($E64&lt;&gt;1,"",IF(AND($F64&lt;=Q$21,$G64&gt;=Q$20),"■",""))</x:f>
      </x:c>
      <x:c r="R64" s="131" t="str">
        <x:f>IF($E64&lt;&gt;1,"",IF(AND($F64&lt;=R$21,$G64&gt;=R$20),"■",""))</x:f>
      </x:c>
      <x:c r="S64" s="131" t="str">
        <x:f>IF($E64&lt;&gt;1,"",IF(AND($F64&lt;=S$21,$G64&gt;=S$20),"■",""))</x:f>
      </x:c>
      <x:c r="T64" s="131" t="str">
        <x:f>IF($E64&lt;&gt;1,"",IF(AND($F64&lt;=T$21,$G64&gt;=T$20),"■",""))</x:f>
      </x:c>
      <x:c r="U64" s="131" t="str">
        <x:f>IF($E64&lt;&gt;1,"",IF(AND($F64&lt;=U$21,$G64&gt;=U$20),"■",""))</x:f>
      </x:c>
      <x:c r="V64" s="131" t="str">
        <x:f>IF($E64&lt;&gt;1,"",IF(AND($F64&lt;=V$21,$G64&gt;=V$20),"■",""))</x:f>
      </x:c>
      <x:c r="W64" s="131" t="str">
        <x:f>IF($E64&lt;&gt;1,"",IF(AND($F64&lt;=W$21,$G64&gt;=W$20),"■",""))</x:f>
      </x:c>
      <x:c r="X64" s="131" t="str">
        <x:f>IF($E64&lt;&gt;1,"",IF(AND($F64&lt;=X$21,$G64&gt;=X$20),"■",""))</x:f>
      </x:c>
      <x:c r="Y64" s="131" t="str">
        <x:f>IF($E64&lt;&gt;1,"",IF(AND($F64&lt;=Y$21,$G64&gt;=Y$20),"■",""))</x:f>
      </x:c>
    </x:row>
    <x:row r="65">
      <x:c r="A65" s="118" t="n">
        <x:f>ROW()-21</x:f>
        <x:v>44</x:v>
      </x:c>
      <x:c r="B65" s="118" t="str">
        <x:f>Mapa_Selecao!A47</x:f>
        <x:v>G3_ARVORE</x:v>
      </x:c>
      <x:c r="C65" s="118" t="str">
        <x:f>Mapa_Selecao!B47</x:f>
        <x:v>Gate 3 — Geração de Alternativas</x:v>
      </x:c>
      <x:c r="D65" s="118" t="str">
        <x:f>Mapa_Selecao!C47</x:f>
        <x:v>Árvore de classificação de conceitos</x:v>
      </x:c>
      <x:c r="E65" s="118" t="n">
        <x:f>Mapa_Selecao!G47</x:f>
        <x:v>0</x:v>
      </x:c>
      <x:c r="F65" s="127" t="str">
        <x:f>IF($E65&lt;&gt;1,"",VLOOKUP($C65,$A$14:$F$18,4,FALSE)+ROUND((VLOOKUP($C65,$A$14:$F$18,5,FALSE)-VLOOKUP($C65,$A$14:$F$18,4,FALSE)+1)*($M65-1)/MAX(1,$L65),0))</x:f>
      </x:c>
      <x:c r="G65" s="127" t="str">
        <x:f>IF($E65&lt;&gt;1,"",MIN(VLOOKUP($C65,$A$14:$F$18,5,FALSE),VLOOKUP($C65,$A$14:$F$18,4,FALSE)+ROUND((VLOOKUP($C65,$A$14:$F$18,5,FALSE)-VLOOKUP($C65,$A$14:$F$18,4,FALSE)+1)*$M65/MAX(1,$L65),0)-1))</x:f>
      </x:c>
      <x:c r="H65" s="118" t="str">
        <x:f>IF($E65&lt;&gt;1,"",MAX(1,$G65-$F65+1))</x:f>
      </x:c>
      <x:c r="I65" s="118" t="str"/>
      <x:c r="J65" s="118" t="str">
        <x:v>Não iniciado</x:v>
      </x:c>
      <x:c r="K65" s="118" t="str"/>
      <x:c r="L65" s="118" t="n">
        <x:f>COUNTIFS($C$22:$C$100,$C65,$E$22:$E$100,1)</x:f>
        <x:v>0</x:v>
      </x:c>
      <x:c r="M65" s="118" t="str">
        <x:f>IF($E65=1,COUNTIFS($C$22:C65,$C65,$E$22:E65,1),"")</x:f>
      </x:c>
      <x:c r="N65" s="131" t="str">
        <x:f>IF($E65&lt;&gt;1,"",IF(AND($F65&lt;=N$21,$G65&gt;=N$20),"■",""))</x:f>
      </x:c>
      <x:c r="O65" s="131" t="str">
        <x:f>IF($E65&lt;&gt;1,"",IF(AND($F65&lt;=O$21,$G65&gt;=O$20),"■",""))</x:f>
      </x:c>
      <x:c r="P65" s="131" t="str">
        <x:f>IF($E65&lt;&gt;1,"",IF(AND($F65&lt;=P$21,$G65&gt;=P$20),"■",""))</x:f>
      </x:c>
      <x:c r="Q65" s="131" t="str">
        <x:f>IF($E65&lt;&gt;1,"",IF(AND($F65&lt;=Q$21,$G65&gt;=Q$20),"■",""))</x:f>
      </x:c>
      <x:c r="R65" s="131" t="str">
        <x:f>IF($E65&lt;&gt;1,"",IF(AND($F65&lt;=R$21,$G65&gt;=R$20),"■",""))</x:f>
      </x:c>
      <x:c r="S65" s="131" t="str">
        <x:f>IF($E65&lt;&gt;1,"",IF(AND($F65&lt;=S$21,$G65&gt;=S$20),"■",""))</x:f>
      </x:c>
      <x:c r="T65" s="131" t="str">
        <x:f>IF($E65&lt;&gt;1,"",IF(AND($F65&lt;=T$21,$G65&gt;=T$20),"■",""))</x:f>
      </x:c>
      <x:c r="U65" s="131" t="str">
        <x:f>IF($E65&lt;&gt;1,"",IF(AND($F65&lt;=U$21,$G65&gt;=U$20),"■",""))</x:f>
      </x:c>
      <x:c r="V65" s="131" t="str">
        <x:f>IF($E65&lt;&gt;1,"",IF(AND($F65&lt;=V$21,$G65&gt;=V$20),"■",""))</x:f>
      </x:c>
      <x:c r="W65" s="131" t="str">
        <x:f>IF($E65&lt;&gt;1,"",IF(AND($F65&lt;=W$21,$G65&gt;=W$20),"■",""))</x:f>
      </x:c>
      <x:c r="X65" s="131" t="str">
        <x:f>IF($E65&lt;&gt;1,"",IF(AND($F65&lt;=X$21,$G65&gt;=X$20),"■",""))</x:f>
      </x:c>
      <x:c r="Y65" s="131" t="str">
        <x:f>IF($E65&lt;&gt;1,"",IF(AND($F65&lt;=Y$21,$G65&gt;=Y$20),"■",""))</x:f>
      </x:c>
    </x:row>
    <x:row r="66">
      <x:c r="A66" s="118" t="n">
        <x:f>ROW()-21</x:f>
        <x:v>45</x:v>
      </x:c>
      <x:c r="B66" s="118" t="str">
        <x:f>Mapa_Selecao!A48</x:f>
        <x:v>G3_COMBO</x:v>
      </x:c>
      <x:c r="C66" s="118" t="str">
        <x:f>Mapa_Selecao!B48</x:f>
        <x:v>Gate 3 — Geração de Alternativas</x:v>
      </x:c>
      <x:c r="D66" s="118" t="str">
        <x:f>Mapa_Selecao!C48</x:f>
        <x:v>Tabela de combinação de conceitos</x:v>
      </x:c>
      <x:c r="E66" s="118" t="n">
        <x:f>Mapa_Selecao!G48</x:f>
        <x:v>0</x:v>
      </x:c>
      <x:c r="F66" s="127" t="str">
        <x:f>IF($E66&lt;&gt;1,"",VLOOKUP($C66,$A$14:$F$18,4,FALSE)+ROUND((VLOOKUP($C66,$A$14:$F$18,5,FALSE)-VLOOKUP($C66,$A$14:$F$18,4,FALSE)+1)*($M66-1)/MAX(1,$L66),0))</x:f>
      </x:c>
      <x:c r="G66" s="127" t="str">
        <x:f>IF($E66&lt;&gt;1,"",MIN(VLOOKUP($C66,$A$14:$F$18,5,FALSE),VLOOKUP($C66,$A$14:$F$18,4,FALSE)+ROUND((VLOOKUP($C66,$A$14:$F$18,5,FALSE)-VLOOKUP($C66,$A$14:$F$18,4,FALSE)+1)*$M66/MAX(1,$L66),0)-1))</x:f>
      </x:c>
      <x:c r="H66" s="118" t="str">
        <x:f>IF($E66&lt;&gt;1,"",MAX(1,$G66-$F66+1))</x:f>
      </x:c>
      <x:c r="I66" s="118" t="str"/>
      <x:c r="J66" s="118" t="str">
        <x:v>Não iniciado</x:v>
      </x:c>
      <x:c r="K66" s="118" t="str"/>
      <x:c r="L66" s="118" t="n">
        <x:f>COUNTIFS($C$22:$C$100,$C66,$E$22:$E$100,1)</x:f>
        <x:v>0</x:v>
      </x:c>
      <x:c r="M66" s="118" t="str">
        <x:f>IF($E66=1,COUNTIFS($C$22:C66,$C66,$E$22:E66,1),"")</x:f>
      </x:c>
      <x:c r="N66" s="131" t="str">
        <x:f>IF($E66&lt;&gt;1,"",IF(AND($F66&lt;=N$21,$G66&gt;=N$20),"■",""))</x:f>
      </x:c>
      <x:c r="O66" s="131" t="str">
        <x:f>IF($E66&lt;&gt;1,"",IF(AND($F66&lt;=O$21,$G66&gt;=O$20),"■",""))</x:f>
      </x:c>
      <x:c r="P66" s="131" t="str">
        <x:f>IF($E66&lt;&gt;1,"",IF(AND($F66&lt;=P$21,$G66&gt;=P$20),"■",""))</x:f>
      </x:c>
      <x:c r="Q66" s="131" t="str">
        <x:f>IF($E66&lt;&gt;1,"",IF(AND($F66&lt;=Q$21,$G66&gt;=Q$20),"■",""))</x:f>
      </x:c>
      <x:c r="R66" s="131" t="str">
        <x:f>IF($E66&lt;&gt;1,"",IF(AND($F66&lt;=R$21,$G66&gt;=R$20),"■",""))</x:f>
      </x:c>
      <x:c r="S66" s="131" t="str">
        <x:f>IF($E66&lt;&gt;1,"",IF(AND($F66&lt;=S$21,$G66&gt;=S$20),"■",""))</x:f>
      </x:c>
      <x:c r="T66" s="131" t="str">
        <x:f>IF($E66&lt;&gt;1,"",IF(AND($F66&lt;=T$21,$G66&gt;=T$20),"■",""))</x:f>
      </x:c>
      <x:c r="U66" s="131" t="str">
        <x:f>IF($E66&lt;&gt;1,"",IF(AND($F66&lt;=U$21,$G66&gt;=U$20),"■",""))</x:f>
      </x:c>
      <x:c r="V66" s="131" t="str">
        <x:f>IF($E66&lt;&gt;1,"",IF(AND($F66&lt;=V$21,$G66&gt;=V$20),"■",""))</x:f>
      </x:c>
      <x:c r="W66" s="131" t="str">
        <x:f>IF($E66&lt;&gt;1,"",IF(AND($F66&lt;=W$21,$G66&gt;=W$20),"■",""))</x:f>
      </x:c>
      <x:c r="X66" s="131" t="str">
        <x:f>IF($E66&lt;&gt;1,"",IF(AND($F66&lt;=X$21,$G66&gt;=X$20),"■",""))</x:f>
      </x:c>
      <x:c r="Y66" s="131" t="str">
        <x:f>IF($E66&lt;&gt;1,"",IF(AND($F66&lt;=Y$21,$G66&gt;=Y$20),"■",""))</x:f>
      </x:c>
    </x:row>
    <x:row r="67">
      <x:c r="A67" s="118" t="n">
        <x:f>ROW()-21</x:f>
        <x:v>46</x:v>
      </x:c>
      <x:c r="B67" s="118" t="str">
        <x:f>Mapa_Selecao!A49</x:f>
        <x:v>G3_SKETCH</x:v>
      </x:c>
      <x:c r="C67" s="118" t="str">
        <x:f>Mapa_Selecao!B49</x:f>
        <x:v>Gate 3 — Geração de Alternativas</x:v>
      </x:c>
      <x:c r="D67" s="118" t="str">
        <x:f>Mapa_Selecao!C49</x:f>
        <x:v>Sketch conceitual</x:v>
      </x:c>
      <x:c r="E67" s="118" t="n">
        <x:f>Mapa_Selecao!G49</x:f>
        <x:v>0</x:v>
      </x:c>
      <x:c r="F67" s="127" t="str">
        <x:f>IF($E67&lt;&gt;1,"",VLOOKUP($C67,$A$14:$F$18,4,FALSE)+ROUND((VLOOKUP($C67,$A$14:$F$18,5,FALSE)-VLOOKUP($C67,$A$14:$F$18,4,FALSE)+1)*($M67-1)/MAX(1,$L67),0))</x:f>
      </x:c>
      <x:c r="G67" s="127" t="str">
        <x:f>IF($E67&lt;&gt;1,"",MIN(VLOOKUP($C67,$A$14:$F$18,5,FALSE),VLOOKUP($C67,$A$14:$F$18,4,FALSE)+ROUND((VLOOKUP($C67,$A$14:$F$18,5,FALSE)-VLOOKUP($C67,$A$14:$F$18,4,FALSE)+1)*$M67/MAX(1,$L67),0)-1))</x:f>
      </x:c>
      <x:c r="H67" s="118" t="str">
        <x:f>IF($E67&lt;&gt;1,"",MAX(1,$G67-$F67+1))</x:f>
      </x:c>
      <x:c r="I67" s="118" t="str"/>
      <x:c r="J67" s="118" t="str">
        <x:v>Não iniciado</x:v>
      </x:c>
      <x:c r="K67" s="118" t="str"/>
      <x:c r="L67" s="118" t="n">
        <x:f>COUNTIFS($C$22:$C$100,$C67,$E$22:$E$100,1)</x:f>
        <x:v>0</x:v>
      </x:c>
      <x:c r="M67" s="118" t="str">
        <x:f>IF($E67=1,COUNTIFS($C$22:C67,$C67,$E$22:E67,1),"")</x:f>
      </x:c>
      <x:c r="N67" s="131" t="str">
        <x:f>IF($E67&lt;&gt;1,"",IF(AND($F67&lt;=N$21,$G67&gt;=N$20),"■",""))</x:f>
      </x:c>
      <x:c r="O67" s="131" t="str">
        <x:f>IF($E67&lt;&gt;1,"",IF(AND($F67&lt;=O$21,$G67&gt;=O$20),"■",""))</x:f>
      </x:c>
      <x:c r="P67" s="131" t="str">
        <x:f>IF($E67&lt;&gt;1,"",IF(AND($F67&lt;=P$21,$G67&gt;=P$20),"■",""))</x:f>
      </x:c>
      <x:c r="Q67" s="131" t="str">
        <x:f>IF($E67&lt;&gt;1,"",IF(AND($F67&lt;=Q$21,$G67&gt;=Q$20),"■",""))</x:f>
      </x:c>
      <x:c r="R67" s="131" t="str">
        <x:f>IF($E67&lt;&gt;1,"",IF(AND($F67&lt;=R$21,$G67&gt;=R$20),"■",""))</x:f>
      </x:c>
      <x:c r="S67" s="131" t="str">
        <x:f>IF($E67&lt;&gt;1,"",IF(AND($F67&lt;=S$21,$G67&gt;=S$20),"■",""))</x:f>
      </x:c>
      <x:c r="T67" s="131" t="str">
        <x:f>IF($E67&lt;&gt;1,"",IF(AND($F67&lt;=T$21,$G67&gt;=T$20),"■",""))</x:f>
      </x:c>
      <x:c r="U67" s="131" t="str">
        <x:f>IF($E67&lt;&gt;1,"",IF(AND($F67&lt;=U$21,$G67&gt;=U$20),"■",""))</x:f>
      </x:c>
      <x:c r="V67" s="131" t="str">
        <x:f>IF($E67&lt;&gt;1,"",IF(AND($F67&lt;=V$21,$G67&gt;=V$20),"■",""))</x:f>
      </x:c>
      <x:c r="W67" s="131" t="str">
        <x:f>IF($E67&lt;&gt;1,"",IF(AND($F67&lt;=W$21,$G67&gt;=W$20),"■",""))</x:f>
      </x:c>
      <x:c r="X67" s="131" t="str">
        <x:f>IF($E67&lt;&gt;1,"",IF(AND($F67&lt;=X$21,$G67&gt;=X$20),"■",""))</x:f>
      </x:c>
      <x:c r="Y67" s="131" t="str">
        <x:f>IF($E67&lt;&gt;1,"",IF(AND($F67&lt;=Y$21,$G67&gt;=Y$20),"■",""))</x:f>
      </x:c>
    </x:row>
    <x:row r="68">
      <x:c r="A68" s="118" t="n">
        <x:f>ROW()-21</x:f>
        <x:v>47</x:v>
      </x:c>
      <x:c r="B68" s="118" t="str">
        <x:f>Mapa_Selecao!A50</x:f>
        <x:v>G3_STORY</x:v>
      </x:c>
      <x:c r="C68" s="118" t="str">
        <x:f>Mapa_Selecao!B50</x:f>
        <x:v>Gate 3 — Geração de Alternativas</x:v>
      </x:c>
      <x:c r="D68" s="118" t="str">
        <x:f>Mapa_Selecao!C50</x:f>
        <x:v>Storyboard de uso</x:v>
      </x:c>
      <x:c r="E68" s="118" t="n">
        <x:f>Mapa_Selecao!G50</x:f>
        <x:v>0</x:v>
      </x:c>
      <x:c r="F68" s="127" t="str">
        <x:f>IF($E68&lt;&gt;1,"",VLOOKUP($C68,$A$14:$F$18,4,FALSE)+ROUND((VLOOKUP($C68,$A$14:$F$18,5,FALSE)-VLOOKUP($C68,$A$14:$F$18,4,FALSE)+1)*($M68-1)/MAX(1,$L68),0))</x:f>
      </x:c>
      <x:c r="G68" s="127" t="str">
        <x:f>IF($E68&lt;&gt;1,"",MIN(VLOOKUP($C68,$A$14:$F$18,5,FALSE),VLOOKUP($C68,$A$14:$F$18,4,FALSE)+ROUND((VLOOKUP($C68,$A$14:$F$18,5,FALSE)-VLOOKUP($C68,$A$14:$F$18,4,FALSE)+1)*$M68/MAX(1,$L68),0)-1))</x:f>
      </x:c>
      <x:c r="H68" s="118" t="str">
        <x:f>IF($E68&lt;&gt;1,"",MAX(1,$G68-$F68+1))</x:f>
      </x:c>
      <x:c r="I68" s="118" t="str"/>
      <x:c r="J68" s="118" t="str">
        <x:v>Não iniciado</x:v>
      </x:c>
      <x:c r="K68" s="118" t="str"/>
      <x:c r="L68" s="118" t="n">
        <x:f>COUNTIFS($C$22:$C$100,$C68,$E$22:$E$100,1)</x:f>
        <x:v>0</x:v>
      </x:c>
      <x:c r="M68" s="118" t="str">
        <x:f>IF($E68=1,COUNTIFS($C$22:C68,$C68,$E$22:E68,1),"")</x:f>
      </x:c>
      <x:c r="N68" s="131" t="str">
        <x:f>IF($E68&lt;&gt;1,"",IF(AND($F68&lt;=N$21,$G68&gt;=N$20),"■",""))</x:f>
      </x:c>
      <x:c r="O68" s="131" t="str">
        <x:f>IF($E68&lt;&gt;1,"",IF(AND($F68&lt;=O$21,$G68&gt;=O$20),"■",""))</x:f>
      </x:c>
      <x:c r="P68" s="131" t="str">
        <x:f>IF($E68&lt;&gt;1,"",IF(AND($F68&lt;=P$21,$G68&gt;=P$20),"■",""))</x:f>
      </x:c>
      <x:c r="Q68" s="131" t="str">
        <x:f>IF($E68&lt;&gt;1,"",IF(AND($F68&lt;=Q$21,$G68&gt;=Q$20),"■",""))</x:f>
      </x:c>
      <x:c r="R68" s="131" t="str">
        <x:f>IF($E68&lt;&gt;1,"",IF(AND($F68&lt;=R$21,$G68&gt;=R$20),"■",""))</x:f>
      </x:c>
      <x:c r="S68" s="131" t="str">
        <x:f>IF($E68&lt;&gt;1,"",IF(AND($F68&lt;=S$21,$G68&gt;=S$20),"■",""))</x:f>
      </x:c>
      <x:c r="T68" s="131" t="str">
        <x:f>IF($E68&lt;&gt;1,"",IF(AND($F68&lt;=T$21,$G68&gt;=T$20),"■",""))</x:f>
      </x:c>
      <x:c r="U68" s="131" t="str">
        <x:f>IF($E68&lt;&gt;1,"",IF(AND($F68&lt;=U$21,$G68&gt;=U$20),"■",""))</x:f>
      </x:c>
      <x:c r="V68" s="131" t="str">
        <x:f>IF($E68&lt;&gt;1,"",IF(AND($F68&lt;=V$21,$G68&gt;=V$20),"■",""))</x:f>
      </x:c>
      <x:c r="W68" s="131" t="str">
        <x:f>IF($E68&lt;&gt;1,"",IF(AND($F68&lt;=W$21,$G68&gt;=W$20),"■",""))</x:f>
      </x:c>
      <x:c r="X68" s="131" t="str">
        <x:f>IF($E68&lt;&gt;1,"",IF(AND($F68&lt;=X$21,$G68&gt;=X$20),"■",""))</x:f>
      </x:c>
      <x:c r="Y68" s="131" t="str">
        <x:f>IF($E68&lt;&gt;1,"",IF(AND($F68&lt;=Y$21,$G68&gt;=Y$20),"■",""))</x:f>
      </x:c>
    </x:row>
    <x:row r="69">
      <x:c r="A69" s="118" t="n">
        <x:f>ROW()-21</x:f>
        <x:v>48</x:v>
      </x:c>
      <x:c r="B69" s="118" t="str">
        <x:f>Mapa_Selecao!A51</x:f>
        <x:v>G3_PROTO</x:v>
      </x:c>
      <x:c r="C69" s="118" t="str">
        <x:f>Mapa_Selecao!B51</x:f>
        <x:v>Gate 3 — Geração de Alternativas</x:v>
      </x:c>
      <x:c r="D69" s="118" t="str">
        <x:f>Mapa_Selecao!C51</x:f>
        <x:v>Prototipagem conceitual simples</x:v>
      </x:c>
      <x:c r="E69" s="118" t="n">
        <x:f>Mapa_Selecao!G51</x:f>
        <x:v>0</x:v>
      </x:c>
      <x:c r="F69" s="127" t="str">
        <x:f>IF($E69&lt;&gt;1,"",VLOOKUP($C69,$A$14:$F$18,4,FALSE)+ROUND((VLOOKUP($C69,$A$14:$F$18,5,FALSE)-VLOOKUP($C69,$A$14:$F$18,4,FALSE)+1)*($M69-1)/MAX(1,$L69),0))</x:f>
      </x:c>
      <x:c r="G69" s="127" t="str">
        <x:f>IF($E69&lt;&gt;1,"",MIN(VLOOKUP($C69,$A$14:$F$18,5,FALSE),VLOOKUP($C69,$A$14:$F$18,4,FALSE)+ROUND((VLOOKUP($C69,$A$14:$F$18,5,FALSE)-VLOOKUP($C69,$A$14:$F$18,4,FALSE)+1)*$M69/MAX(1,$L69),0)-1))</x:f>
      </x:c>
      <x:c r="H69" s="118" t="str">
        <x:f>IF($E69&lt;&gt;1,"",MAX(1,$G69-$F69+1))</x:f>
      </x:c>
      <x:c r="I69" s="118" t="str"/>
      <x:c r="J69" s="118" t="str">
        <x:v>Não iniciado</x:v>
      </x:c>
      <x:c r="K69" s="118" t="str"/>
      <x:c r="L69" s="118" t="n">
        <x:f>COUNTIFS($C$22:$C$100,$C69,$E$22:$E$100,1)</x:f>
        <x:v>0</x:v>
      </x:c>
      <x:c r="M69" s="118" t="str">
        <x:f>IF($E69=1,COUNTIFS($C$22:C69,$C69,$E$22:E69,1),"")</x:f>
      </x:c>
      <x:c r="N69" s="131" t="str">
        <x:f>IF($E69&lt;&gt;1,"",IF(AND($F69&lt;=N$21,$G69&gt;=N$20),"■",""))</x:f>
      </x:c>
      <x:c r="O69" s="131" t="str">
        <x:f>IF($E69&lt;&gt;1,"",IF(AND($F69&lt;=O$21,$G69&gt;=O$20),"■",""))</x:f>
      </x:c>
      <x:c r="P69" s="131" t="str">
        <x:f>IF($E69&lt;&gt;1,"",IF(AND($F69&lt;=P$21,$G69&gt;=P$20),"■",""))</x:f>
      </x:c>
      <x:c r="Q69" s="131" t="str">
        <x:f>IF($E69&lt;&gt;1,"",IF(AND($F69&lt;=Q$21,$G69&gt;=Q$20),"■",""))</x:f>
      </x:c>
      <x:c r="R69" s="131" t="str">
        <x:f>IF($E69&lt;&gt;1,"",IF(AND($F69&lt;=R$21,$G69&gt;=R$20),"■",""))</x:f>
      </x:c>
      <x:c r="S69" s="131" t="str">
        <x:f>IF($E69&lt;&gt;1,"",IF(AND($F69&lt;=S$21,$G69&gt;=S$20),"■",""))</x:f>
      </x:c>
      <x:c r="T69" s="131" t="str">
        <x:f>IF($E69&lt;&gt;1,"",IF(AND($F69&lt;=T$21,$G69&gt;=T$20),"■",""))</x:f>
      </x:c>
      <x:c r="U69" s="131" t="str">
        <x:f>IF($E69&lt;&gt;1,"",IF(AND($F69&lt;=U$21,$G69&gt;=U$20),"■",""))</x:f>
      </x:c>
      <x:c r="V69" s="131" t="str">
        <x:f>IF($E69&lt;&gt;1,"",IF(AND($F69&lt;=V$21,$G69&gt;=V$20),"■",""))</x:f>
      </x:c>
      <x:c r="W69" s="131" t="str">
        <x:f>IF($E69&lt;&gt;1,"",IF(AND($F69&lt;=W$21,$G69&gt;=W$20),"■",""))</x:f>
      </x:c>
      <x:c r="X69" s="131" t="str">
        <x:f>IF($E69&lt;&gt;1,"",IF(AND($F69&lt;=X$21,$G69&gt;=X$20),"■",""))</x:f>
      </x:c>
      <x:c r="Y69" s="131" t="str">
        <x:f>IF($E69&lt;&gt;1,"",IF(AND($F69&lt;=Y$21,$G69&gt;=Y$20),"■",""))</x:f>
      </x:c>
    </x:row>
    <x:row r="70">
      <x:c r="A70" s="118" t="n">
        <x:f>ROW()-21</x:f>
        <x:v>49</x:v>
      </x:c>
      <x:c r="B70" s="118" t="str">
        <x:f>Mapa_Selecao!A52</x:f>
        <x:v>G3_PROVA</x:v>
      </x:c>
      <x:c r="C70" s="118" t="str">
        <x:f>Mapa_Selecao!B52</x:f>
        <x:v>Gate 3 — Geração de Alternativas</x:v>
      </x:c>
      <x:c r="D70" s="118" t="str">
        <x:f>Mapa_Selecao!C52</x:f>
        <x:v>Prova de princípio simples</x:v>
      </x:c>
      <x:c r="E70" s="118" t="n">
        <x:f>Mapa_Selecao!G52</x:f>
        <x:v>0</x:v>
      </x:c>
      <x:c r="F70" s="127" t="str">
        <x:f>IF($E70&lt;&gt;1,"",VLOOKUP($C70,$A$14:$F$18,4,FALSE)+ROUND((VLOOKUP($C70,$A$14:$F$18,5,FALSE)-VLOOKUP($C70,$A$14:$F$18,4,FALSE)+1)*($M70-1)/MAX(1,$L70),0))</x:f>
      </x:c>
      <x:c r="G70" s="127" t="str">
        <x:f>IF($E70&lt;&gt;1,"",MIN(VLOOKUP($C70,$A$14:$F$18,5,FALSE),VLOOKUP($C70,$A$14:$F$18,4,FALSE)+ROUND((VLOOKUP($C70,$A$14:$F$18,5,FALSE)-VLOOKUP($C70,$A$14:$F$18,4,FALSE)+1)*$M70/MAX(1,$L70),0)-1))</x:f>
      </x:c>
      <x:c r="H70" s="118" t="str">
        <x:f>IF($E70&lt;&gt;1,"",MAX(1,$G70-$F70+1))</x:f>
      </x:c>
      <x:c r="I70" s="118" t="str"/>
      <x:c r="J70" s="118" t="str">
        <x:v>Não iniciado</x:v>
      </x:c>
      <x:c r="K70" s="118" t="str"/>
      <x:c r="L70" s="118" t="n">
        <x:f>COUNTIFS($C$22:$C$100,$C70,$E$22:$E$100,1)</x:f>
        <x:v>0</x:v>
      </x:c>
      <x:c r="M70" s="118" t="str">
        <x:f>IF($E70=1,COUNTIFS($C$22:C70,$C70,$E$22:E70,1),"")</x:f>
      </x:c>
      <x:c r="N70" s="131" t="str">
        <x:f>IF($E70&lt;&gt;1,"",IF(AND($F70&lt;=N$21,$G70&gt;=N$20),"■",""))</x:f>
      </x:c>
      <x:c r="O70" s="131" t="str">
        <x:f>IF($E70&lt;&gt;1,"",IF(AND($F70&lt;=O$21,$G70&gt;=O$20),"■",""))</x:f>
      </x:c>
      <x:c r="P70" s="131" t="str">
        <x:f>IF($E70&lt;&gt;1,"",IF(AND($F70&lt;=P$21,$G70&gt;=P$20),"■",""))</x:f>
      </x:c>
      <x:c r="Q70" s="131" t="str">
        <x:f>IF($E70&lt;&gt;1,"",IF(AND($F70&lt;=Q$21,$G70&gt;=Q$20),"■",""))</x:f>
      </x:c>
      <x:c r="R70" s="131" t="str">
        <x:f>IF($E70&lt;&gt;1,"",IF(AND($F70&lt;=R$21,$G70&gt;=R$20),"■",""))</x:f>
      </x:c>
      <x:c r="S70" s="131" t="str">
        <x:f>IF($E70&lt;&gt;1,"",IF(AND($F70&lt;=S$21,$G70&gt;=S$20),"■",""))</x:f>
      </x:c>
      <x:c r="T70" s="131" t="str">
        <x:f>IF($E70&lt;&gt;1,"",IF(AND($F70&lt;=T$21,$G70&gt;=T$20),"■",""))</x:f>
      </x:c>
      <x:c r="U70" s="131" t="str">
        <x:f>IF($E70&lt;&gt;1,"",IF(AND($F70&lt;=U$21,$G70&gt;=U$20),"■",""))</x:f>
      </x:c>
      <x:c r="V70" s="131" t="str">
        <x:f>IF($E70&lt;&gt;1,"",IF(AND($F70&lt;=V$21,$G70&gt;=V$20),"■",""))</x:f>
      </x:c>
      <x:c r="W70" s="131" t="str">
        <x:f>IF($E70&lt;&gt;1,"",IF(AND($F70&lt;=W$21,$G70&gt;=W$20),"■",""))</x:f>
      </x:c>
      <x:c r="X70" s="131" t="str">
        <x:f>IF($E70&lt;&gt;1,"",IF(AND($F70&lt;=X$21,$G70&gt;=X$20),"■",""))</x:f>
      </x:c>
      <x:c r="Y70" s="131" t="str">
        <x:f>IF($E70&lt;&gt;1,"",IF(AND($F70&lt;=Y$21,$G70&gt;=Y$20),"■",""))</x:f>
      </x:c>
    </x:row>
    <x:row r="71">
      <x:c r="A71" s="118" t="n">
        <x:f>ROW()-21</x:f>
        <x:v>50</x:v>
      </x:c>
      <x:c r="B71" s="118" t="str">
        <x:f>Mapa_Selecao!A53</x:f>
        <x:v>G3_GONOGO</x:v>
      </x:c>
      <x:c r="C71" s="118" t="str">
        <x:f>Mapa_Selecao!B53</x:f>
        <x:v>Gate 3 — Geração de Alternativas</x:v>
      </x:c>
      <x:c r="D71" s="118" t="str">
        <x:f>Mapa_Selecao!C53</x:f>
        <x:v>Matriz Go/No-Go — Gate 3</x:v>
      </x:c>
      <x:c r="E71" s="118" t="n">
        <x:f>Mapa_Selecao!G53</x:f>
        <x:v>0</x:v>
      </x:c>
      <x:c r="F71" s="127" t="str">
        <x:f>IF($E71&lt;&gt;1,"",VLOOKUP($C71,$A$14:$F$18,4,FALSE)+ROUND((VLOOKUP($C71,$A$14:$F$18,5,FALSE)-VLOOKUP($C71,$A$14:$F$18,4,FALSE)+1)*($M71-1)/MAX(1,$L71),0))</x:f>
      </x:c>
      <x:c r="G71" s="127" t="str">
        <x:f>IF($E71&lt;&gt;1,"",MIN(VLOOKUP($C71,$A$14:$F$18,5,FALSE),VLOOKUP($C71,$A$14:$F$18,4,FALSE)+ROUND((VLOOKUP($C71,$A$14:$F$18,5,FALSE)-VLOOKUP($C71,$A$14:$F$18,4,FALSE)+1)*$M71/MAX(1,$L71),0)-1))</x:f>
      </x:c>
      <x:c r="H71" s="118" t="str">
        <x:f>IF($E71&lt;&gt;1,"",MAX(1,$G71-$F71+1))</x:f>
      </x:c>
      <x:c r="I71" s="118" t="str"/>
      <x:c r="J71" s="118" t="str">
        <x:v>Não iniciado</x:v>
      </x:c>
      <x:c r="K71" s="118" t="str"/>
      <x:c r="L71" s="118" t="n">
        <x:f>COUNTIFS($C$22:$C$100,$C71,$E$22:$E$100,1)</x:f>
        <x:v>0</x:v>
      </x:c>
      <x:c r="M71" s="118" t="str">
        <x:f>IF($E71=1,COUNTIFS($C$22:C71,$C71,$E$22:E71,1),"")</x:f>
      </x:c>
      <x:c r="N71" s="131" t="str">
        <x:f>IF($E71&lt;&gt;1,"",IF(AND($F71&lt;=N$21,$G71&gt;=N$20),"■",""))</x:f>
      </x:c>
      <x:c r="O71" s="131" t="str">
        <x:f>IF($E71&lt;&gt;1,"",IF(AND($F71&lt;=O$21,$G71&gt;=O$20),"■",""))</x:f>
      </x:c>
      <x:c r="P71" s="131" t="str">
        <x:f>IF($E71&lt;&gt;1,"",IF(AND($F71&lt;=P$21,$G71&gt;=P$20),"■",""))</x:f>
      </x:c>
      <x:c r="Q71" s="131" t="str">
        <x:f>IF($E71&lt;&gt;1,"",IF(AND($F71&lt;=Q$21,$G71&gt;=Q$20),"■",""))</x:f>
      </x:c>
      <x:c r="R71" s="131" t="str">
        <x:f>IF($E71&lt;&gt;1,"",IF(AND($F71&lt;=R$21,$G71&gt;=R$20),"■",""))</x:f>
      </x:c>
      <x:c r="S71" s="131" t="str">
        <x:f>IF($E71&lt;&gt;1,"",IF(AND($F71&lt;=S$21,$G71&gt;=S$20),"■",""))</x:f>
      </x:c>
      <x:c r="T71" s="131" t="str">
        <x:f>IF($E71&lt;&gt;1,"",IF(AND($F71&lt;=T$21,$G71&gt;=T$20),"■",""))</x:f>
      </x:c>
      <x:c r="U71" s="131" t="str">
        <x:f>IF($E71&lt;&gt;1,"",IF(AND($F71&lt;=U$21,$G71&gt;=U$20),"■",""))</x:f>
      </x:c>
      <x:c r="V71" s="131" t="str">
        <x:f>IF($E71&lt;&gt;1,"",IF(AND($F71&lt;=V$21,$G71&gt;=V$20),"■",""))</x:f>
      </x:c>
      <x:c r="W71" s="131" t="str">
        <x:f>IF($E71&lt;&gt;1,"",IF(AND($F71&lt;=W$21,$G71&gt;=W$20),"■",""))</x:f>
      </x:c>
      <x:c r="X71" s="131" t="str">
        <x:f>IF($E71&lt;&gt;1,"",IF(AND($F71&lt;=X$21,$G71&gt;=X$20),"■",""))</x:f>
      </x:c>
      <x:c r="Y71" s="131" t="str">
        <x:f>IF($E71&lt;&gt;1,"",IF(AND($F71&lt;=Y$21,$G71&gt;=Y$20),"■",""))</x:f>
      </x:c>
    </x:row>
    <x:row r="72">
      <x:c r="A72" s="118" t="n">
        <x:f>ROW()-21</x:f>
        <x:v>51</x:v>
      </x:c>
      <x:c r="B72" s="118" t="str">
        <x:f>Mapa_Selecao!A54</x:f>
        <x:v>G4_CRIT</x:v>
      </x:c>
      <x:c r="C72" s="118" t="str">
        <x:f>Mapa_Selecao!B54</x:f>
        <x:v>Gate 4 — Seleção e Teste</x:v>
      </x:c>
      <x:c r="D72" s="118" t="str">
        <x:f>Mapa_Selecao!C54</x:f>
        <x:v>Critérios de seleção do conceito</x:v>
      </x:c>
      <x:c r="E72" s="118" t="n">
        <x:f>Mapa_Selecao!G54</x:f>
        <x:v>0</x:v>
      </x:c>
      <x:c r="F72" s="127" t="str">
        <x:f>IF($E72&lt;&gt;1,"",VLOOKUP($C72,$A$14:$F$18,4,FALSE)+ROUND((VLOOKUP($C72,$A$14:$F$18,5,FALSE)-VLOOKUP($C72,$A$14:$F$18,4,FALSE)+1)*($M72-1)/MAX(1,$L72),0))</x:f>
      </x:c>
      <x:c r="G72" s="127" t="str">
        <x:f>IF($E72&lt;&gt;1,"",MIN(VLOOKUP($C72,$A$14:$F$18,5,FALSE),VLOOKUP($C72,$A$14:$F$18,4,FALSE)+ROUND((VLOOKUP($C72,$A$14:$F$18,5,FALSE)-VLOOKUP($C72,$A$14:$F$18,4,FALSE)+1)*$M72/MAX(1,$L72),0)-1))</x:f>
      </x:c>
      <x:c r="H72" s="118" t="str">
        <x:f>IF($E72&lt;&gt;1,"",MAX(1,$G72-$F72+1))</x:f>
      </x:c>
      <x:c r="I72" s="118" t="str"/>
      <x:c r="J72" s="118" t="str">
        <x:v>Não iniciado</x:v>
      </x:c>
      <x:c r="K72" s="118" t="str"/>
      <x:c r="L72" s="118" t="n">
        <x:f>COUNTIFS($C$22:$C$100,$C72,$E$22:$E$100,1)</x:f>
        <x:v>0</x:v>
      </x:c>
      <x:c r="M72" s="118" t="str">
        <x:f>IF($E72=1,COUNTIFS($C$22:C72,$C72,$E$22:E72,1),"")</x:f>
      </x:c>
      <x:c r="N72" s="131" t="str">
        <x:f>IF($E72&lt;&gt;1,"",IF(AND($F72&lt;=N$21,$G72&gt;=N$20),"■",""))</x:f>
      </x:c>
      <x:c r="O72" s="131" t="str">
        <x:f>IF($E72&lt;&gt;1,"",IF(AND($F72&lt;=O$21,$G72&gt;=O$20),"■",""))</x:f>
      </x:c>
      <x:c r="P72" s="131" t="str">
        <x:f>IF($E72&lt;&gt;1,"",IF(AND($F72&lt;=P$21,$G72&gt;=P$20),"■",""))</x:f>
      </x:c>
      <x:c r="Q72" s="131" t="str">
        <x:f>IF($E72&lt;&gt;1,"",IF(AND($F72&lt;=Q$21,$G72&gt;=Q$20),"■",""))</x:f>
      </x:c>
      <x:c r="R72" s="131" t="str">
        <x:f>IF($E72&lt;&gt;1,"",IF(AND($F72&lt;=R$21,$G72&gt;=R$20),"■",""))</x:f>
      </x:c>
      <x:c r="S72" s="131" t="str">
        <x:f>IF($E72&lt;&gt;1,"",IF(AND($F72&lt;=S$21,$G72&gt;=S$20),"■",""))</x:f>
      </x:c>
      <x:c r="T72" s="131" t="str">
        <x:f>IF($E72&lt;&gt;1,"",IF(AND($F72&lt;=T$21,$G72&gt;=T$20),"■",""))</x:f>
      </x:c>
      <x:c r="U72" s="131" t="str">
        <x:f>IF($E72&lt;&gt;1,"",IF(AND($F72&lt;=U$21,$G72&gt;=U$20),"■",""))</x:f>
      </x:c>
      <x:c r="V72" s="131" t="str">
        <x:f>IF($E72&lt;&gt;1,"",IF(AND($F72&lt;=V$21,$G72&gt;=V$20),"■",""))</x:f>
      </x:c>
      <x:c r="W72" s="131" t="str">
        <x:f>IF($E72&lt;&gt;1,"",IF(AND($F72&lt;=W$21,$G72&gt;=W$20),"■",""))</x:f>
      </x:c>
      <x:c r="X72" s="131" t="str">
        <x:f>IF($E72&lt;&gt;1,"",IF(AND($F72&lt;=X$21,$G72&gt;=X$20),"■",""))</x:f>
      </x:c>
      <x:c r="Y72" s="131" t="str">
        <x:f>IF($E72&lt;&gt;1,"",IF(AND($F72&lt;=Y$21,$G72&gt;=Y$20),"■",""))</x:f>
      </x:c>
    </x:row>
    <x:row r="73">
      <x:c r="A73" s="118" t="n">
        <x:f>ROW()-21</x:f>
        <x:v>52</x:v>
      </x:c>
      <x:c r="B73" s="118" t="str">
        <x:f>Mapa_Selecao!A55</x:f>
        <x:v>G4_REF</x:v>
      </x:c>
      <x:c r="C73" s="118" t="str">
        <x:f>Mapa_Selecao!B55</x:f>
        <x:v>Gate 4 — Seleção e Teste</x:v>
      </x:c>
      <x:c r="D73" s="118" t="str">
        <x:f>Mapa_Selecao!C55</x:f>
        <x:v>Conceito de referência</x:v>
      </x:c>
      <x:c r="E73" s="118" t="n">
        <x:f>Mapa_Selecao!G55</x:f>
        <x:v>0</x:v>
      </x:c>
      <x:c r="F73" s="127" t="str">
        <x:f>IF($E73&lt;&gt;1,"",VLOOKUP($C73,$A$14:$F$18,4,FALSE)+ROUND((VLOOKUP($C73,$A$14:$F$18,5,FALSE)-VLOOKUP($C73,$A$14:$F$18,4,FALSE)+1)*($M73-1)/MAX(1,$L73),0))</x:f>
      </x:c>
      <x:c r="G73" s="127" t="str">
        <x:f>IF($E73&lt;&gt;1,"",MIN(VLOOKUP($C73,$A$14:$F$18,5,FALSE),VLOOKUP($C73,$A$14:$F$18,4,FALSE)+ROUND((VLOOKUP($C73,$A$14:$F$18,5,FALSE)-VLOOKUP($C73,$A$14:$F$18,4,FALSE)+1)*$M73/MAX(1,$L73),0)-1))</x:f>
      </x:c>
      <x:c r="H73" s="118" t="str">
        <x:f>IF($E73&lt;&gt;1,"",MAX(1,$G73-$F73+1))</x:f>
      </x:c>
      <x:c r="I73" s="118" t="str"/>
      <x:c r="J73" s="118" t="str">
        <x:v>Não iniciado</x:v>
      </x:c>
      <x:c r="K73" s="118" t="str"/>
      <x:c r="L73" s="118" t="n">
        <x:f>COUNTIFS($C$22:$C$100,$C73,$E$22:$E$100,1)</x:f>
        <x:v>0</x:v>
      </x:c>
      <x:c r="M73" s="118" t="str">
        <x:f>IF($E73=1,COUNTIFS($C$22:C73,$C73,$E$22:E73,1),"")</x:f>
      </x:c>
      <x:c r="N73" s="131" t="str">
        <x:f>IF($E73&lt;&gt;1,"",IF(AND($F73&lt;=N$21,$G73&gt;=N$20),"■",""))</x:f>
      </x:c>
      <x:c r="O73" s="131" t="str">
        <x:f>IF($E73&lt;&gt;1,"",IF(AND($F73&lt;=O$21,$G73&gt;=O$20),"■",""))</x:f>
      </x:c>
      <x:c r="P73" s="131" t="str">
        <x:f>IF($E73&lt;&gt;1,"",IF(AND($F73&lt;=P$21,$G73&gt;=P$20),"■",""))</x:f>
      </x:c>
      <x:c r="Q73" s="131" t="str">
        <x:f>IF($E73&lt;&gt;1,"",IF(AND($F73&lt;=Q$21,$G73&gt;=Q$20),"■",""))</x:f>
      </x:c>
      <x:c r="R73" s="131" t="str">
        <x:f>IF($E73&lt;&gt;1,"",IF(AND($F73&lt;=R$21,$G73&gt;=R$20),"■",""))</x:f>
      </x:c>
      <x:c r="S73" s="131" t="str">
        <x:f>IF($E73&lt;&gt;1,"",IF(AND($F73&lt;=S$21,$G73&gt;=S$20),"■",""))</x:f>
      </x:c>
      <x:c r="T73" s="131" t="str">
        <x:f>IF($E73&lt;&gt;1,"",IF(AND($F73&lt;=T$21,$G73&gt;=T$20),"■",""))</x:f>
      </x:c>
      <x:c r="U73" s="131" t="str">
        <x:f>IF($E73&lt;&gt;1,"",IF(AND($F73&lt;=U$21,$G73&gt;=U$20),"■",""))</x:f>
      </x:c>
      <x:c r="V73" s="131" t="str">
        <x:f>IF($E73&lt;&gt;1,"",IF(AND($F73&lt;=V$21,$G73&gt;=V$20),"■",""))</x:f>
      </x:c>
      <x:c r="W73" s="131" t="str">
        <x:f>IF($E73&lt;&gt;1,"",IF(AND($F73&lt;=W$21,$G73&gt;=W$20),"■",""))</x:f>
      </x:c>
      <x:c r="X73" s="131" t="str">
        <x:f>IF($E73&lt;&gt;1,"",IF(AND($F73&lt;=X$21,$G73&gt;=X$20),"■",""))</x:f>
      </x:c>
      <x:c r="Y73" s="131" t="str">
        <x:f>IF($E73&lt;&gt;1,"",IF(AND($F73&lt;=Y$21,$G73&gt;=Y$20),"■",""))</x:f>
      </x:c>
    </x:row>
    <x:row r="74">
      <x:c r="A74" s="118" t="n">
        <x:f>ROW()-21</x:f>
        <x:v>53</x:v>
      </x:c>
      <x:c r="B74" s="118" t="str">
        <x:f>Mapa_Selecao!A56</x:f>
        <x:v>G4_TRIAGEM</x:v>
      </x:c>
      <x:c r="C74" s="118" t="str">
        <x:f>Mapa_Selecao!B56</x:f>
        <x:v>Gate 4 — Seleção e Teste</x:v>
      </x:c>
      <x:c r="D74" s="118" t="str">
        <x:f>Mapa_Selecao!C56</x:f>
        <x:v>Matriz de triagem de conceitos</x:v>
      </x:c>
      <x:c r="E74" s="118" t="n">
        <x:f>Mapa_Selecao!G56</x:f>
        <x:v>0</x:v>
      </x:c>
      <x:c r="F74" s="127" t="str">
        <x:f>IF($E74&lt;&gt;1,"",VLOOKUP($C74,$A$14:$F$18,4,FALSE)+ROUND((VLOOKUP($C74,$A$14:$F$18,5,FALSE)-VLOOKUP($C74,$A$14:$F$18,4,FALSE)+1)*($M74-1)/MAX(1,$L74),0))</x:f>
      </x:c>
      <x:c r="G74" s="127" t="str">
        <x:f>IF($E74&lt;&gt;1,"",MIN(VLOOKUP($C74,$A$14:$F$18,5,FALSE),VLOOKUP($C74,$A$14:$F$18,4,FALSE)+ROUND((VLOOKUP($C74,$A$14:$F$18,5,FALSE)-VLOOKUP($C74,$A$14:$F$18,4,FALSE)+1)*$M74/MAX(1,$L74),0)-1))</x:f>
      </x:c>
      <x:c r="H74" s="118" t="str">
        <x:f>IF($E74&lt;&gt;1,"",MAX(1,$G74-$F74+1))</x:f>
      </x:c>
      <x:c r="I74" s="118" t="str"/>
      <x:c r="J74" s="118" t="str">
        <x:v>Não iniciado</x:v>
      </x:c>
      <x:c r="K74" s="118" t="str"/>
      <x:c r="L74" s="118" t="n">
        <x:f>COUNTIFS($C$22:$C$100,$C74,$E$22:$E$100,1)</x:f>
        <x:v>0</x:v>
      </x:c>
      <x:c r="M74" s="118" t="str">
        <x:f>IF($E74=1,COUNTIFS($C$22:C74,$C74,$E$22:E74,1),"")</x:f>
      </x:c>
      <x:c r="N74" s="131" t="str">
        <x:f>IF($E74&lt;&gt;1,"",IF(AND($F74&lt;=N$21,$G74&gt;=N$20),"■",""))</x:f>
      </x:c>
      <x:c r="O74" s="131" t="str">
        <x:f>IF($E74&lt;&gt;1,"",IF(AND($F74&lt;=O$21,$G74&gt;=O$20),"■",""))</x:f>
      </x:c>
      <x:c r="P74" s="131" t="str">
        <x:f>IF($E74&lt;&gt;1,"",IF(AND($F74&lt;=P$21,$G74&gt;=P$20),"■",""))</x:f>
      </x:c>
      <x:c r="Q74" s="131" t="str">
        <x:f>IF($E74&lt;&gt;1,"",IF(AND($F74&lt;=Q$21,$G74&gt;=Q$20),"■",""))</x:f>
      </x:c>
      <x:c r="R74" s="131" t="str">
        <x:f>IF($E74&lt;&gt;1,"",IF(AND($F74&lt;=R$21,$G74&gt;=R$20),"■",""))</x:f>
      </x:c>
      <x:c r="S74" s="131" t="str">
        <x:f>IF($E74&lt;&gt;1,"",IF(AND($F74&lt;=S$21,$G74&gt;=S$20),"■",""))</x:f>
      </x:c>
      <x:c r="T74" s="131" t="str">
        <x:f>IF($E74&lt;&gt;1,"",IF(AND($F74&lt;=T$21,$G74&gt;=T$20),"■",""))</x:f>
      </x:c>
      <x:c r="U74" s="131" t="str">
        <x:f>IF($E74&lt;&gt;1,"",IF(AND($F74&lt;=U$21,$G74&gt;=U$20),"■",""))</x:f>
      </x:c>
      <x:c r="V74" s="131" t="str">
        <x:f>IF($E74&lt;&gt;1,"",IF(AND($F74&lt;=V$21,$G74&gt;=V$20),"■",""))</x:f>
      </x:c>
      <x:c r="W74" s="131" t="str">
        <x:f>IF($E74&lt;&gt;1,"",IF(AND($F74&lt;=W$21,$G74&gt;=W$20),"■",""))</x:f>
      </x:c>
      <x:c r="X74" s="131" t="str">
        <x:f>IF($E74&lt;&gt;1,"",IF(AND($F74&lt;=X$21,$G74&gt;=X$20),"■",""))</x:f>
      </x:c>
      <x:c r="Y74" s="131" t="str">
        <x:f>IF($E74&lt;&gt;1,"",IF(AND($F74&lt;=Y$21,$G74&gt;=Y$20),"■",""))</x:f>
      </x:c>
    </x:row>
    <x:row r="75">
      <x:c r="A75" s="118" t="n">
        <x:f>ROW()-21</x:f>
        <x:v>54</x:v>
      </x:c>
      <x:c r="B75" s="118" t="str">
        <x:f>Mapa_Selecao!A57</x:f>
        <x:v>G4_PUGH</x:v>
      </x:c>
      <x:c r="C75" s="118" t="str">
        <x:f>Mapa_Selecao!B57</x:f>
        <x:v>Gate 4 — Seleção e Teste</x:v>
      </x:c>
      <x:c r="D75" s="118" t="str">
        <x:f>Mapa_Selecao!C57</x:f>
        <x:v>Matriz de Pugh</x:v>
      </x:c>
      <x:c r="E75" s="118" t="n">
        <x:f>Mapa_Selecao!G57</x:f>
        <x:v>0</x:v>
      </x:c>
      <x:c r="F75" s="127" t="str">
        <x:f>IF($E75&lt;&gt;1,"",VLOOKUP($C75,$A$14:$F$18,4,FALSE)+ROUND((VLOOKUP($C75,$A$14:$F$18,5,FALSE)-VLOOKUP($C75,$A$14:$F$18,4,FALSE)+1)*($M75-1)/MAX(1,$L75),0))</x:f>
      </x:c>
      <x:c r="G75" s="127" t="str">
        <x:f>IF($E75&lt;&gt;1,"",MIN(VLOOKUP($C75,$A$14:$F$18,5,FALSE),VLOOKUP($C75,$A$14:$F$18,4,FALSE)+ROUND((VLOOKUP($C75,$A$14:$F$18,5,FALSE)-VLOOKUP($C75,$A$14:$F$18,4,FALSE)+1)*$M75/MAX(1,$L75),0)-1))</x:f>
      </x:c>
      <x:c r="H75" s="118" t="str">
        <x:f>IF($E75&lt;&gt;1,"",MAX(1,$G75-$F75+1))</x:f>
      </x:c>
      <x:c r="I75" s="118" t="str"/>
      <x:c r="J75" s="118" t="str">
        <x:v>Não iniciado</x:v>
      </x:c>
      <x:c r="K75" s="118" t="str"/>
      <x:c r="L75" s="118" t="n">
        <x:f>COUNTIFS($C$22:$C$100,$C75,$E$22:$E$100,1)</x:f>
        <x:v>0</x:v>
      </x:c>
      <x:c r="M75" s="118" t="str">
        <x:f>IF($E75=1,COUNTIFS($C$22:C75,$C75,$E$22:E75,1),"")</x:f>
      </x:c>
      <x:c r="N75" s="131" t="str">
        <x:f>IF($E75&lt;&gt;1,"",IF(AND($F75&lt;=N$21,$G75&gt;=N$20),"■",""))</x:f>
      </x:c>
      <x:c r="O75" s="131" t="str">
        <x:f>IF($E75&lt;&gt;1,"",IF(AND($F75&lt;=O$21,$G75&gt;=O$20),"■",""))</x:f>
      </x:c>
      <x:c r="P75" s="131" t="str">
        <x:f>IF($E75&lt;&gt;1,"",IF(AND($F75&lt;=P$21,$G75&gt;=P$20),"■",""))</x:f>
      </x:c>
      <x:c r="Q75" s="131" t="str">
        <x:f>IF($E75&lt;&gt;1,"",IF(AND($F75&lt;=Q$21,$G75&gt;=Q$20),"■",""))</x:f>
      </x:c>
      <x:c r="R75" s="131" t="str">
        <x:f>IF($E75&lt;&gt;1,"",IF(AND($F75&lt;=R$21,$G75&gt;=R$20),"■",""))</x:f>
      </x:c>
      <x:c r="S75" s="131" t="str">
        <x:f>IF($E75&lt;&gt;1,"",IF(AND($F75&lt;=S$21,$G75&gt;=S$20),"■",""))</x:f>
      </x:c>
      <x:c r="T75" s="131" t="str">
        <x:f>IF($E75&lt;&gt;1,"",IF(AND($F75&lt;=T$21,$G75&gt;=T$20),"■",""))</x:f>
      </x:c>
      <x:c r="U75" s="131" t="str">
        <x:f>IF($E75&lt;&gt;1,"",IF(AND($F75&lt;=U$21,$G75&gt;=U$20),"■",""))</x:f>
      </x:c>
      <x:c r="V75" s="131" t="str">
        <x:f>IF($E75&lt;&gt;1,"",IF(AND($F75&lt;=V$21,$G75&gt;=V$20),"■",""))</x:f>
      </x:c>
      <x:c r="W75" s="131" t="str">
        <x:f>IF($E75&lt;&gt;1,"",IF(AND($F75&lt;=W$21,$G75&gt;=W$20),"■",""))</x:f>
      </x:c>
      <x:c r="X75" s="131" t="str">
        <x:f>IF($E75&lt;&gt;1,"",IF(AND($F75&lt;=X$21,$G75&gt;=X$20),"■",""))</x:f>
      </x:c>
      <x:c r="Y75" s="131" t="str">
        <x:f>IF($E75&lt;&gt;1,"",IF(AND($F75&lt;=Y$21,$G75&gt;=Y$20),"■",""))</x:f>
      </x:c>
    </x:row>
    <x:row r="76">
      <x:c r="A76" s="118" t="n">
        <x:f>ROW()-21</x:f>
        <x:v>55</x:v>
      </x:c>
      <x:c r="B76" s="118" t="str">
        <x:f>Mapa_Selecao!A58</x:f>
        <x:v>G4_PONDER</x:v>
      </x:c>
      <x:c r="C76" s="118" t="str">
        <x:f>Mapa_Selecao!B58</x:f>
        <x:v>Gate 4 — Seleção e Teste</x:v>
      </x:c>
      <x:c r="D76" s="118" t="str">
        <x:f>Mapa_Selecao!C58</x:f>
        <x:v>Matriz de decisão ponderada</x:v>
      </x:c>
      <x:c r="E76" s="118" t="n">
        <x:f>Mapa_Selecao!G58</x:f>
        <x:v>0</x:v>
      </x:c>
      <x:c r="F76" s="127" t="str">
        <x:f>IF($E76&lt;&gt;1,"",VLOOKUP($C76,$A$14:$F$18,4,FALSE)+ROUND((VLOOKUP($C76,$A$14:$F$18,5,FALSE)-VLOOKUP($C76,$A$14:$F$18,4,FALSE)+1)*($M76-1)/MAX(1,$L76),0))</x:f>
      </x:c>
      <x:c r="G76" s="127" t="str">
        <x:f>IF($E76&lt;&gt;1,"",MIN(VLOOKUP($C76,$A$14:$F$18,5,FALSE),VLOOKUP($C76,$A$14:$F$18,4,FALSE)+ROUND((VLOOKUP($C76,$A$14:$F$18,5,FALSE)-VLOOKUP($C76,$A$14:$F$18,4,FALSE)+1)*$M76/MAX(1,$L76),0)-1))</x:f>
      </x:c>
      <x:c r="H76" s="118" t="str">
        <x:f>IF($E76&lt;&gt;1,"",MAX(1,$G76-$F76+1))</x:f>
      </x:c>
      <x:c r="I76" s="118" t="str"/>
      <x:c r="J76" s="118" t="str">
        <x:v>Não iniciado</x:v>
      </x:c>
      <x:c r="K76" s="118" t="str"/>
      <x:c r="L76" s="118" t="n">
        <x:f>COUNTIFS($C$22:$C$100,$C76,$E$22:$E$100,1)</x:f>
        <x:v>0</x:v>
      </x:c>
      <x:c r="M76" s="118" t="str">
        <x:f>IF($E76=1,COUNTIFS($C$22:C76,$C76,$E$22:E76,1),"")</x:f>
      </x:c>
      <x:c r="N76" s="131" t="str">
        <x:f>IF($E76&lt;&gt;1,"",IF(AND($F76&lt;=N$21,$G76&gt;=N$20),"■",""))</x:f>
      </x:c>
      <x:c r="O76" s="131" t="str">
        <x:f>IF($E76&lt;&gt;1,"",IF(AND($F76&lt;=O$21,$G76&gt;=O$20),"■",""))</x:f>
      </x:c>
      <x:c r="P76" s="131" t="str">
        <x:f>IF($E76&lt;&gt;1,"",IF(AND($F76&lt;=P$21,$G76&gt;=P$20),"■",""))</x:f>
      </x:c>
      <x:c r="Q76" s="131" t="str">
        <x:f>IF($E76&lt;&gt;1,"",IF(AND($F76&lt;=Q$21,$G76&gt;=Q$20),"■",""))</x:f>
      </x:c>
      <x:c r="R76" s="131" t="str">
        <x:f>IF($E76&lt;&gt;1,"",IF(AND($F76&lt;=R$21,$G76&gt;=R$20),"■",""))</x:f>
      </x:c>
      <x:c r="S76" s="131" t="str">
        <x:f>IF($E76&lt;&gt;1,"",IF(AND($F76&lt;=S$21,$G76&gt;=S$20),"■",""))</x:f>
      </x:c>
      <x:c r="T76" s="131" t="str">
        <x:f>IF($E76&lt;&gt;1,"",IF(AND($F76&lt;=T$21,$G76&gt;=T$20),"■",""))</x:f>
      </x:c>
      <x:c r="U76" s="131" t="str">
        <x:f>IF($E76&lt;&gt;1,"",IF(AND($F76&lt;=U$21,$G76&gt;=U$20),"■",""))</x:f>
      </x:c>
      <x:c r="V76" s="131" t="str">
        <x:f>IF($E76&lt;&gt;1,"",IF(AND($F76&lt;=V$21,$G76&gt;=V$20),"■",""))</x:f>
      </x:c>
      <x:c r="W76" s="131" t="str">
        <x:f>IF($E76&lt;&gt;1,"",IF(AND($F76&lt;=W$21,$G76&gt;=W$20),"■",""))</x:f>
      </x:c>
      <x:c r="X76" s="131" t="str">
        <x:f>IF($E76&lt;&gt;1,"",IF(AND($F76&lt;=X$21,$G76&gt;=X$20),"■",""))</x:f>
      </x:c>
      <x:c r="Y76" s="131" t="str">
        <x:f>IF($E76&lt;&gt;1,"",IF(AND($F76&lt;=Y$21,$G76&gt;=Y$20),"■",""))</x:f>
      </x:c>
    </x:row>
    <x:row r="77">
      <x:c r="A77" s="118" t="n">
        <x:f>ROW()-21</x:f>
        <x:v>56</x:v>
      </x:c>
      <x:c r="B77" s="118" t="str">
        <x:f>Mapa_Selecao!A59</x:f>
        <x:v>G4_TRADE</x:v>
      </x:c>
      <x:c r="C77" s="118" t="str">
        <x:f>Mapa_Selecao!B59</x:f>
        <x:v>Gate 4 — Seleção e Teste</x:v>
      </x:c>
      <x:c r="D77" s="118" t="str">
        <x:f>Mapa_Selecao!C59</x:f>
        <x:v>Trade-off conceitual</x:v>
      </x:c>
      <x:c r="E77" s="118" t="n">
        <x:f>Mapa_Selecao!G59</x:f>
        <x:v>0</x:v>
      </x:c>
      <x:c r="F77" s="127" t="str">
        <x:f>IF($E77&lt;&gt;1,"",VLOOKUP($C77,$A$14:$F$18,4,FALSE)+ROUND((VLOOKUP($C77,$A$14:$F$18,5,FALSE)-VLOOKUP($C77,$A$14:$F$18,4,FALSE)+1)*($M77-1)/MAX(1,$L77),0))</x:f>
      </x:c>
      <x:c r="G77" s="127" t="str">
        <x:f>IF($E77&lt;&gt;1,"",MIN(VLOOKUP($C77,$A$14:$F$18,5,FALSE),VLOOKUP($C77,$A$14:$F$18,4,FALSE)+ROUND((VLOOKUP($C77,$A$14:$F$18,5,FALSE)-VLOOKUP($C77,$A$14:$F$18,4,FALSE)+1)*$M77/MAX(1,$L77),0)-1))</x:f>
      </x:c>
      <x:c r="H77" s="118" t="str">
        <x:f>IF($E77&lt;&gt;1,"",MAX(1,$G77-$F77+1))</x:f>
      </x:c>
      <x:c r="I77" s="118" t="str"/>
      <x:c r="J77" s="118" t="str">
        <x:v>Não iniciado</x:v>
      </x:c>
      <x:c r="K77" s="118" t="str"/>
      <x:c r="L77" s="118" t="n">
        <x:f>COUNTIFS($C$22:$C$100,$C77,$E$22:$E$100,1)</x:f>
        <x:v>0</x:v>
      </x:c>
      <x:c r="M77" s="118" t="str">
        <x:f>IF($E77=1,COUNTIFS($C$22:C77,$C77,$E$22:E77,1),"")</x:f>
      </x:c>
      <x:c r="N77" s="131" t="str">
        <x:f>IF($E77&lt;&gt;1,"",IF(AND($F77&lt;=N$21,$G77&gt;=N$20),"■",""))</x:f>
      </x:c>
      <x:c r="O77" s="131" t="str">
        <x:f>IF($E77&lt;&gt;1,"",IF(AND($F77&lt;=O$21,$G77&gt;=O$20),"■",""))</x:f>
      </x:c>
      <x:c r="P77" s="131" t="str">
        <x:f>IF($E77&lt;&gt;1,"",IF(AND($F77&lt;=P$21,$G77&gt;=P$20),"■",""))</x:f>
      </x:c>
      <x:c r="Q77" s="131" t="str">
        <x:f>IF($E77&lt;&gt;1,"",IF(AND($F77&lt;=Q$21,$G77&gt;=Q$20),"■",""))</x:f>
      </x:c>
      <x:c r="R77" s="131" t="str">
        <x:f>IF($E77&lt;&gt;1,"",IF(AND($F77&lt;=R$21,$G77&gt;=R$20),"■",""))</x:f>
      </x:c>
      <x:c r="S77" s="131" t="str">
        <x:f>IF($E77&lt;&gt;1,"",IF(AND($F77&lt;=S$21,$G77&gt;=S$20),"■",""))</x:f>
      </x:c>
      <x:c r="T77" s="131" t="str">
        <x:f>IF($E77&lt;&gt;1,"",IF(AND($F77&lt;=T$21,$G77&gt;=T$20),"■",""))</x:f>
      </x:c>
      <x:c r="U77" s="131" t="str">
        <x:f>IF($E77&lt;&gt;1,"",IF(AND($F77&lt;=U$21,$G77&gt;=U$20),"■",""))</x:f>
      </x:c>
      <x:c r="V77" s="131" t="str">
        <x:f>IF($E77&lt;&gt;1,"",IF(AND($F77&lt;=V$21,$G77&gt;=V$20),"■",""))</x:f>
      </x:c>
      <x:c r="W77" s="131" t="str">
        <x:f>IF($E77&lt;&gt;1,"",IF(AND($F77&lt;=W$21,$G77&gt;=W$20),"■",""))</x:f>
      </x:c>
      <x:c r="X77" s="131" t="str">
        <x:f>IF($E77&lt;&gt;1,"",IF(AND($F77&lt;=X$21,$G77&gt;=X$20),"■",""))</x:f>
      </x:c>
      <x:c r="Y77" s="131" t="str">
        <x:f>IF($E77&lt;&gt;1,"",IF(AND($F77&lt;=Y$21,$G77&gt;=Y$20),"■",""))</x:f>
      </x:c>
    </x:row>
    <x:row r="78">
      <x:c r="A78" s="118" t="n">
        <x:f>ROW()-21</x:f>
        <x:v>57</x:v>
      </x:c>
      <x:c r="B78" s="118" t="str">
        <x:f>Mapa_Selecao!A60</x:f>
        <x:v>G4_NEC_CONC</x:v>
      </x:c>
      <x:c r="C78" s="118" t="str">
        <x:f>Mapa_Selecao!B60</x:f>
        <x:v>Gate 4 — Seleção e Teste</x:v>
      </x:c>
      <x:c r="D78" s="118" t="str">
        <x:f>Mapa_Selecao!C60</x:f>
        <x:v>Matriz necessidade × conceito</x:v>
      </x:c>
      <x:c r="E78" s="118" t="n">
        <x:f>Mapa_Selecao!G60</x:f>
        <x:v>0</x:v>
      </x:c>
      <x:c r="F78" s="127" t="str">
        <x:f>IF($E78&lt;&gt;1,"",VLOOKUP($C78,$A$14:$F$18,4,FALSE)+ROUND((VLOOKUP($C78,$A$14:$F$18,5,FALSE)-VLOOKUP($C78,$A$14:$F$18,4,FALSE)+1)*($M78-1)/MAX(1,$L78),0))</x:f>
      </x:c>
      <x:c r="G78" s="127" t="str">
        <x:f>IF($E78&lt;&gt;1,"",MIN(VLOOKUP($C78,$A$14:$F$18,5,FALSE),VLOOKUP($C78,$A$14:$F$18,4,FALSE)+ROUND((VLOOKUP($C78,$A$14:$F$18,5,FALSE)-VLOOKUP($C78,$A$14:$F$18,4,FALSE)+1)*$M78/MAX(1,$L78),0)-1))</x:f>
      </x:c>
      <x:c r="H78" s="118" t="str">
        <x:f>IF($E78&lt;&gt;1,"",MAX(1,$G78-$F78+1))</x:f>
      </x:c>
      <x:c r="I78" s="118" t="str"/>
      <x:c r="J78" s="118" t="str">
        <x:v>Não iniciado</x:v>
      </x:c>
      <x:c r="K78" s="118" t="str"/>
      <x:c r="L78" s="118" t="n">
        <x:f>COUNTIFS($C$22:$C$100,$C78,$E$22:$E$100,1)</x:f>
        <x:v>0</x:v>
      </x:c>
      <x:c r="M78" s="118" t="str">
        <x:f>IF($E78=1,COUNTIFS($C$22:C78,$C78,$E$22:E78,1),"")</x:f>
      </x:c>
      <x:c r="N78" s="131" t="str">
        <x:f>IF($E78&lt;&gt;1,"",IF(AND($F78&lt;=N$21,$G78&gt;=N$20),"■",""))</x:f>
      </x:c>
      <x:c r="O78" s="131" t="str">
        <x:f>IF($E78&lt;&gt;1,"",IF(AND($F78&lt;=O$21,$G78&gt;=O$20),"■",""))</x:f>
      </x:c>
      <x:c r="P78" s="131" t="str">
        <x:f>IF($E78&lt;&gt;1,"",IF(AND($F78&lt;=P$21,$G78&gt;=P$20),"■",""))</x:f>
      </x:c>
      <x:c r="Q78" s="131" t="str">
        <x:f>IF($E78&lt;&gt;1,"",IF(AND($F78&lt;=Q$21,$G78&gt;=Q$20),"■",""))</x:f>
      </x:c>
      <x:c r="R78" s="131" t="str">
        <x:f>IF($E78&lt;&gt;1,"",IF(AND($F78&lt;=R$21,$G78&gt;=R$20),"■",""))</x:f>
      </x:c>
      <x:c r="S78" s="131" t="str">
        <x:f>IF($E78&lt;&gt;1,"",IF(AND($F78&lt;=S$21,$G78&gt;=S$20),"■",""))</x:f>
      </x:c>
      <x:c r="T78" s="131" t="str">
        <x:f>IF($E78&lt;&gt;1,"",IF(AND($F78&lt;=T$21,$G78&gt;=T$20),"■",""))</x:f>
      </x:c>
      <x:c r="U78" s="131" t="str">
        <x:f>IF($E78&lt;&gt;1,"",IF(AND($F78&lt;=U$21,$G78&gt;=U$20),"■",""))</x:f>
      </x:c>
      <x:c r="V78" s="131" t="str">
        <x:f>IF($E78&lt;&gt;1,"",IF(AND($F78&lt;=V$21,$G78&gt;=V$20),"■",""))</x:f>
      </x:c>
      <x:c r="W78" s="131" t="str">
        <x:f>IF($E78&lt;&gt;1,"",IF(AND($F78&lt;=W$21,$G78&gt;=W$20),"■",""))</x:f>
      </x:c>
      <x:c r="X78" s="131" t="str">
        <x:f>IF($E78&lt;&gt;1,"",IF(AND($F78&lt;=X$21,$G78&gt;=X$20),"■",""))</x:f>
      </x:c>
      <x:c r="Y78" s="131" t="str">
        <x:f>IF($E78&lt;&gt;1,"",IF(AND($F78&lt;=Y$21,$G78&gt;=Y$20),"■",""))</x:f>
      </x:c>
    </x:row>
    <x:row r="79">
      <x:c r="A79" s="118" t="n">
        <x:f>ROW()-21</x:f>
        <x:v>58</x:v>
      </x:c>
      <x:c r="B79" s="118" t="str">
        <x:f>Mapa_Selecao!A61</x:f>
        <x:v>G4_CTQ_CONC</x:v>
      </x:c>
      <x:c r="C79" s="118" t="str">
        <x:f>Mapa_Selecao!B61</x:f>
        <x:v>Gate 4 — Seleção e Teste</x:v>
      </x:c>
      <x:c r="D79" s="118" t="str">
        <x:f>Mapa_Selecao!C61</x:f>
        <x:v>Matriz CTQ × conceito</x:v>
      </x:c>
      <x:c r="E79" s="118" t="n">
        <x:f>Mapa_Selecao!G61</x:f>
        <x:v>0</x:v>
      </x:c>
      <x:c r="F79" s="127" t="str">
        <x:f>IF($E79&lt;&gt;1,"",VLOOKUP($C79,$A$14:$F$18,4,FALSE)+ROUND((VLOOKUP($C79,$A$14:$F$18,5,FALSE)-VLOOKUP($C79,$A$14:$F$18,4,FALSE)+1)*($M79-1)/MAX(1,$L79),0))</x:f>
      </x:c>
      <x:c r="G79" s="127" t="str">
        <x:f>IF($E79&lt;&gt;1,"",MIN(VLOOKUP($C79,$A$14:$F$18,5,FALSE),VLOOKUP($C79,$A$14:$F$18,4,FALSE)+ROUND((VLOOKUP($C79,$A$14:$F$18,5,FALSE)-VLOOKUP($C79,$A$14:$F$18,4,FALSE)+1)*$M79/MAX(1,$L79),0)-1))</x:f>
      </x:c>
      <x:c r="H79" s="118" t="str">
        <x:f>IF($E79&lt;&gt;1,"",MAX(1,$G79-$F79+1))</x:f>
      </x:c>
      <x:c r="I79" s="118" t="str"/>
      <x:c r="J79" s="118" t="str">
        <x:v>Não iniciado</x:v>
      </x:c>
      <x:c r="K79" s="118" t="str"/>
      <x:c r="L79" s="118" t="n">
        <x:f>COUNTIFS($C$22:$C$100,$C79,$E$22:$E$100,1)</x:f>
        <x:v>0</x:v>
      </x:c>
      <x:c r="M79" s="118" t="str">
        <x:f>IF($E79=1,COUNTIFS($C$22:C79,$C79,$E$22:E79,1),"")</x:f>
      </x:c>
      <x:c r="N79" s="131" t="str">
        <x:f>IF($E79&lt;&gt;1,"",IF(AND($F79&lt;=N$21,$G79&gt;=N$20),"■",""))</x:f>
      </x:c>
      <x:c r="O79" s="131" t="str">
        <x:f>IF($E79&lt;&gt;1,"",IF(AND($F79&lt;=O$21,$G79&gt;=O$20),"■",""))</x:f>
      </x:c>
      <x:c r="P79" s="131" t="str">
        <x:f>IF($E79&lt;&gt;1,"",IF(AND($F79&lt;=P$21,$G79&gt;=P$20),"■",""))</x:f>
      </x:c>
      <x:c r="Q79" s="131" t="str">
        <x:f>IF($E79&lt;&gt;1,"",IF(AND($F79&lt;=Q$21,$G79&gt;=Q$20),"■",""))</x:f>
      </x:c>
      <x:c r="R79" s="131" t="str">
        <x:f>IF($E79&lt;&gt;1,"",IF(AND($F79&lt;=R$21,$G79&gt;=R$20),"■",""))</x:f>
      </x:c>
      <x:c r="S79" s="131" t="str">
        <x:f>IF($E79&lt;&gt;1,"",IF(AND($F79&lt;=S$21,$G79&gt;=S$20),"■",""))</x:f>
      </x:c>
      <x:c r="T79" s="131" t="str">
        <x:f>IF($E79&lt;&gt;1,"",IF(AND($F79&lt;=T$21,$G79&gt;=T$20),"■",""))</x:f>
      </x:c>
      <x:c r="U79" s="131" t="str">
        <x:f>IF($E79&lt;&gt;1,"",IF(AND($F79&lt;=U$21,$G79&gt;=U$20),"■",""))</x:f>
      </x:c>
      <x:c r="V79" s="131" t="str">
        <x:f>IF($E79&lt;&gt;1,"",IF(AND($F79&lt;=V$21,$G79&gt;=V$20),"■",""))</x:f>
      </x:c>
      <x:c r="W79" s="131" t="str">
        <x:f>IF($E79&lt;&gt;1,"",IF(AND($F79&lt;=W$21,$G79&gt;=W$20),"■",""))</x:f>
      </x:c>
      <x:c r="X79" s="131" t="str">
        <x:f>IF($E79&lt;&gt;1,"",IF(AND($F79&lt;=X$21,$G79&gt;=X$20),"■",""))</x:f>
      </x:c>
      <x:c r="Y79" s="131" t="str">
        <x:f>IF($E79&lt;&gt;1,"",IF(AND($F79&lt;=Y$21,$G79&gt;=Y$20),"■",""))</x:f>
      </x:c>
    </x:row>
    <x:row r="80">
      <x:c r="A80" s="118" t="n">
        <x:f>ROW()-21</x:f>
        <x:v>59</x:v>
      </x:c>
      <x:c r="B80" s="118" t="str">
        <x:f>Mapa_Selecao!A62</x:f>
        <x:v>G4_ATRAT</x:v>
      </x:c>
      <x:c r="C80" s="118" t="str">
        <x:f>Mapa_Selecao!B62</x:f>
        <x:v>Gate 4 — Seleção e Teste</x:v>
      </x:c>
      <x:c r="D80" s="118" t="str">
        <x:f>Mapa_Selecao!C62</x:f>
        <x:v>Atratividade do conceito</x:v>
      </x:c>
      <x:c r="E80" s="118" t="n">
        <x:f>Mapa_Selecao!G62</x:f>
        <x:v>0</x:v>
      </x:c>
      <x:c r="F80" s="127" t="str">
        <x:f>IF($E80&lt;&gt;1,"",VLOOKUP($C80,$A$14:$F$18,4,FALSE)+ROUND((VLOOKUP($C80,$A$14:$F$18,5,FALSE)-VLOOKUP($C80,$A$14:$F$18,4,FALSE)+1)*($M80-1)/MAX(1,$L80),0))</x:f>
      </x:c>
      <x:c r="G80" s="127" t="str">
        <x:f>IF($E80&lt;&gt;1,"",MIN(VLOOKUP($C80,$A$14:$F$18,5,FALSE),VLOOKUP($C80,$A$14:$F$18,4,FALSE)+ROUND((VLOOKUP($C80,$A$14:$F$18,5,FALSE)-VLOOKUP($C80,$A$14:$F$18,4,FALSE)+1)*$M80/MAX(1,$L80),0)-1))</x:f>
      </x:c>
      <x:c r="H80" s="118" t="str">
        <x:f>IF($E80&lt;&gt;1,"",MAX(1,$G80-$F80+1))</x:f>
      </x:c>
      <x:c r="I80" s="118" t="str"/>
      <x:c r="J80" s="118" t="str">
        <x:v>Não iniciado</x:v>
      </x:c>
      <x:c r="K80" s="118" t="str"/>
      <x:c r="L80" s="118" t="n">
        <x:f>COUNTIFS($C$22:$C$100,$C80,$E$22:$E$100,1)</x:f>
        <x:v>0</x:v>
      </x:c>
      <x:c r="M80" s="118" t="str">
        <x:f>IF($E80=1,COUNTIFS($C$22:C80,$C80,$E$22:E80,1),"")</x:f>
      </x:c>
      <x:c r="N80" s="131" t="str">
        <x:f>IF($E80&lt;&gt;1,"",IF(AND($F80&lt;=N$21,$G80&gt;=N$20),"■",""))</x:f>
      </x:c>
      <x:c r="O80" s="131" t="str">
        <x:f>IF($E80&lt;&gt;1,"",IF(AND($F80&lt;=O$21,$G80&gt;=O$20),"■",""))</x:f>
      </x:c>
      <x:c r="P80" s="131" t="str">
        <x:f>IF($E80&lt;&gt;1,"",IF(AND($F80&lt;=P$21,$G80&gt;=P$20),"■",""))</x:f>
      </x:c>
      <x:c r="Q80" s="131" t="str">
        <x:f>IF($E80&lt;&gt;1,"",IF(AND($F80&lt;=Q$21,$G80&gt;=Q$20),"■",""))</x:f>
      </x:c>
      <x:c r="R80" s="131" t="str">
        <x:f>IF($E80&lt;&gt;1,"",IF(AND($F80&lt;=R$21,$G80&gt;=R$20),"■",""))</x:f>
      </x:c>
      <x:c r="S80" s="131" t="str">
        <x:f>IF($E80&lt;&gt;1,"",IF(AND($F80&lt;=S$21,$G80&gt;=S$20),"■",""))</x:f>
      </x:c>
      <x:c r="T80" s="131" t="str">
        <x:f>IF($E80&lt;&gt;1,"",IF(AND($F80&lt;=T$21,$G80&gt;=T$20),"■",""))</x:f>
      </x:c>
      <x:c r="U80" s="131" t="str">
        <x:f>IF($E80&lt;&gt;1,"",IF(AND($F80&lt;=U$21,$G80&gt;=U$20),"■",""))</x:f>
      </x:c>
      <x:c r="V80" s="131" t="str">
        <x:f>IF($E80&lt;&gt;1,"",IF(AND($F80&lt;=V$21,$G80&gt;=V$20),"■",""))</x:f>
      </x:c>
      <x:c r="W80" s="131" t="str">
        <x:f>IF($E80&lt;&gt;1,"",IF(AND($F80&lt;=W$21,$G80&gt;=W$20),"■",""))</x:f>
      </x:c>
      <x:c r="X80" s="131" t="str">
        <x:f>IF($E80&lt;&gt;1,"",IF(AND($F80&lt;=X$21,$G80&gt;=X$20),"■",""))</x:f>
      </x:c>
      <x:c r="Y80" s="131" t="str">
        <x:f>IF($E80&lt;&gt;1,"",IF(AND($F80&lt;=Y$21,$G80&gt;=Y$20),"■",""))</x:f>
      </x:c>
    </x:row>
    <x:row r="81">
      <x:c r="A81" s="118" t="n">
        <x:f>ROW()-21</x:f>
        <x:v>60</x:v>
      </x:c>
      <x:c r="B81" s="118" t="str">
        <x:f>Mapa_Selecao!A63</x:f>
        <x:v>G4_TESTE</x:v>
      </x:c>
      <x:c r="C81" s="118" t="str">
        <x:f>Mapa_Selecao!B63</x:f>
        <x:v>Gate 4 — Seleção e Teste</x:v>
      </x:c>
      <x:c r="D81" s="118" t="str">
        <x:f>Mapa_Selecao!C63</x:f>
        <x:v>Teste de conceito preliminar</x:v>
      </x:c>
      <x:c r="E81" s="118" t="n">
        <x:f>Mapa_Selecao!G63</x:f>
        <x:v>0</x:v>
      </x:c>
      <x:c r="F81" s="127" t="str">
        <x:f>IF($E81&lt;&gt;1,"",VLOOKUP($C81,$A$14:$F$18,4,FALSE)+ROUND((VLOOKUP($C81,$A$14:$F$18,5,FALSE)-VLOOKUP($C81,$A$14:$F$18,4,FALSE)+1)*($M81-1)/MAX(1,$L81),0))</x:f>
      </x:c>
      <x:c r="G81" s="127" t="str">
        <x:f>IF($E81&lt;&gt;1,"",MIN(VLOOKUP($C81,$A$14:$F$18,5,FALSE),VLOOKUP($C81,$A$14:$F$18,4,FALSE)+ROUND((VLOOKUP($C81,$A$14:$F$18,5,FALSE)-VLOOKUP($C81,$A$14:$F$18,4,FALSE)+1)*$M81/MAX(1,$L81),0)-1))</x:f>
      </x:c>
      <x:c r="H81" s="118" t="str">
        <x:f>IF($E81&lt;&gt;1,"",MAX(1,$G81-$F81+1))</x:f>
      </x:c>
      <x:c r="I81" s="118" t="str"/>
      <x:c r="J81" s="118" t="str">
        <x:v>Não iniciado</x:v>
      </x:c>
      <x:c r="K81" s="118" t="str"/>
      <x:c r="L81" s="118" t="n">
        <x:f>COUNTIFS($C$22:$C$100,$C81,$E$22:$E$100,1)</x:f>
        <x:v>0</x:v>
      </x:c>
      <x:c r="M81" s="118" t="str">
        <x:f>IF($E81=1,COUNTIFS($C$22:C81,$C81,$E$22:E81,1),"")</x:f>
      </x:c>
      <x:c r="N81" s="131" t="str">
        <x:f>IF($E81&lt;&gt;1,"",IF(AND($F81&lt;=N$21,$G81&gt;=N$20),"■",""))</x:f>
      </x:c>
      <x:c r="O81" s="131" t="str">
        <x:f>IF($E81&lt;&gt;1,"",IF(AND($F81&lt;=O$21,$G81&gt;=O$20),"■",""))</x:f>
      </x:c>
      <x:c r="P81" s="131" t="str">
        <x:f>IF($E81&lt;&gt;1,"",IF(AND($F81&lt;=P$21,$G81&gt;=P$20),"■",""))</x:f>
      </x:c>
      <x:c r="Q81" s="131" t="str">
        <x:f>IF($E81&lt;&gt;1,"",IF(AND($F81&lt;=Q$21,$G81&gt;=Q$20),"■",""))</x:f>
      </x:c>
      <x:c r="R81" s="131" t="str">
        <x:f>IF($E81&lt;&gt;1,"",IF(AND($F81&lt;=R$21,$G81&gt;=R$20),"■",""))</x:f>
      </x:c>
      <x:c r="S81" s="131" t="str">
        <x:f>IF($E81&lt;&gt;1,"",IF(AND($F81&lt;=S$21,$G81&gt;=S$20),"■",""))</x:f>
      </x:c>
      <x:c r="T81" s="131" t="str">
        <x:f>IF($E81&lt;&gt;1,"",IF(AND($F81&lt;=T$21,$G81&gt;=T$20),"■",""))</x:f>
      </x:c>
      <x:c r="U81" s="131" t="str">
        <x:f>IF($E81&lt;&gt;1,"",IF(AND($F81&lt;=U$21,$G81&gt;=U$20),"■",""))</x:f>
      </x:c>
      <x:c r="V81" s="131" t="str">
        <x:f>IF($E81&lt;&gt;1,"",IF(AND($F81&lt;=V$21,$G81&gt;=V$20),"■",""))</x:f>
      </x:c>
      <x:c r="W81" s="131" t="str">
        <x:f>IF($E81&lt;&gt;1,"",IF(AND($F81&lt;=W$21,$G81&gt;=W$20),"■",""))</x:f>
      </x:c>
      <x:c r="X81" s="131" t="str">
        <x:f>IF($E81&lt;&gt;1,"",IF(AND($F81&lt;=X$21,$G81&gt;=X$20),"■",""))</x:f>
      </x:c>
      <x:c r="Y81" s="131" t="str">
        <x:f>IF($E81&lt;&gt;1,"",IF(AND($F81&lt;=Y$21,$G81&gt;=Y$20),"■",""))</x:f>
      </x:c>
    </x:row>
    <x:row r="82">
      <x:c r="A82" s="118" t="n">
        <x:f>ROW()-21</x:f>
        <x:v>61</x:v>
      </x:c>
      <x:c r="B82" s="118" t="str">
        <x:f>Mapa_Selecao!A64</x:f>
        <x:v>G4_PROTO</x:v>
      </x:c>
      <x:c r="C82" s="118" t="str">
        <x:f>Mapa_Selecao!B64</x:f>
        <x:v>Gate 4 — Seleção e Teste</x:v>
      </x:c>
      <x:c r="D82" s="118" t="str">
        <x:f>Mapa_Selecao!C64</x:f>
        <x:v>Prototipagem conceitual de apoio</x:v>
      </x:c>
      <x:c r="E82" s="118" t="n">
        <x:f>Mapa_Selecao!G64</x:f>
        <x:v>0</x:v>
      </x:c>
      <x:c r="F82" s="127" t="str">
        <x:f>IF($E82&lt;&gt;1,"",VLOOKUP($C82,$A$14:$F$18,4,FALSE)+ROUND((VLOOKUP($C82,$A$14:$F$18,5,FALSE)-VLOOKUP($C82,$A$14:$F$18,4,FALSE)+1)*($M82-1)/MAX(1,$L82),0))</x:f>
      </x:c>
      <x:c r="G82" s="127" t="str">
        <x:f>IF($E82&lt;&gt;1,"",MIN(VLOOKUP($C82,$A$14:$F$18,5,FALSE),VLOOKUP($C82,$A$14:$F$18,4,FALSE)+ROUND((VLOOKUP($C82,$A$14:$F$18,5,FALSE)-VLOOKUP($C82,$A$14:$F$18,4,FALSE)+1)*$M82/MAX(1,$L82),0)-1))</x:f>
      </x:c>
      <x:c r="H82" s="118" t="str">
        <x:f>IF($E82&lt;&gt;1,"",MAX(1,$G82-$F82+1))</x:f>
      </x:c>
      <x:c r="I82" s="118" t="str"/>
      <x:c r="J82" s="118" t="str">
        <x:v>Não iniciado</x:v>
      </x:c>
      <x:c r="K82" s="118" t="str"/>
      <x:c r="L82" s="118" t="n">
        <x:f>COUNTIFS($C$22:$C$100,$C82,$E$22:$E$100,1)</x:f>
        <x:v>0</x:v>
      </x:c>
      <x:c r="M82" s="118" t="str">
        <x:f>IF($E82=1,COUNTIFS($C$22:C82,$C82,$E$22:E82,1),"")</x:f>
      </x:c>
      <x:c r="N82" s="131" t="str">
        <x:f>IF($E82&lt;&gt;1,"",IF(AND($F82&lt;=N$21,$G82&gt;=N$20),"■",""))</x:f>
      </x:c>
      <x:c r="O82" s="131" t="str">
        <x:f>IF($E82&lt;&gt;1,"",IF(AND($F82&lt;=O$21,$G82&gt;=O$20),"■",""))</x:f>
      </x:c>
      <x:c r="P82" s="131" t="str">
        <x:f>IF($E82&lt;&gt;1,"",IF(AND($F82&lt;=P$21,$G82&gt;=P$20),"■",""))</x:f>
      </x:c>
      <x:c r="Q82" s="131" t="str">
        <x:f>IF($E82&lt;&gt;1,"",IF(AND($F82&lt;=Q$21,$G82&gt;=Q$20),"■",""))</x:f>
      </x:c>
      <x:c r="R82" s="131" t="str">
        <x:f>IF($E82&lt;&gt;1,"",IF(AND($F82&lt;=R$21,$G82&gt;=R$20),"■",""))</x:f>
      </x:c>
      <x:c r="S82" s="131" t="str">
        <x:f>IF($E82&lt;&gt;1,"",IF(AND($F82&lt;=S$21,$G82&gt;=S$20),"■",""))</x:f>
      </x:c>
      <x:c r="T82" s="131" t="str">
        <x:f>IF($E82&lt;&gt;1,"",IF(AND($F82&lt;=T$21,$G82&gt;=T$20),"■",""))</x:f>
      </x:c>
      <x:c r="U82" s="131" t="str">
        <x:f>IF($E82&lt;&gt;1,"",IF(AND($F82&lt;=U$21,$G82&gt;=U$20),"■",""))</x:f>
      </x:c>
      <x:c r="V82" s="131" t="str">
        <x:f>IF($E82&lt;&gt;1,"",IF(AND($F82&lt;=V$21,$G82&gt;=V$20),"■",""))</x:f>
      </x:c>
      <x:c r="W82" s="131" t="str">
        <x:f>IF($E82&lt;&gt;1,"",IF(AND($F82&lt;=W$21,$G82&gt;=W$20),"■",""))</x:f>
      </x:c>
      <x:c r="X82" s="131" t="str">
        <x:f>IF($E82&lt;&gt;1,"",IF(AND($F82&lt;=X$21,$G82&gt;=X$20),"■",""))</x:f>
      </x:c>
      <x:c r="Y82" s="131" t="str">
        <x:f>IF($E82&lt;&gt;1,"",IF(AND($F82&lt;=Y$21,$G82&gt;=Y$20),"■",""))</x:f>
      </x:c>
    </x:row>
    <x:row r="83">
      <x:c r="A83" s="118" t="n">
        <x:f>ROW()-21</x:f>
        <x:v>62</x:v>
      </x:c>
      <x:c r="B83" s="118" t="str">
        <x:f>Mapa_Selecao!A65</x:f>
        <x:v>G4_SCORE</x:v>
      </x:c>
      <x:c r="C83" s="118" t="str">
        <x:f>Mapa_Selecao!B65</x:f>
        <x:v>Gate 4 — Seleção e Teste</x:v>
      </x:c>
      <x:c r="D83" s="118" t="str">
        <x:f>Mapa_Selecao!C65</x:f>
        <x:v>Scorecard de conceito</x:v>
      </x:c>
      <x:c r="E83" s="118" t="n">
        <x:f>Mapa_Selecao!G65</x:f>
        <x:v>0</x:v>
      </x:c>
      <x:c r="F83" s="127" t="str">
        <x:f>IF($E83&lt;&gt;1,"",VLOOKUP($C83,$A$14:$F$18,4,FALSE)+ROUND((VLOOKUP($C83,$A$14:$F$18,5,FALSE)-VLOOKUP($C83,$A$14:$F$18,4,FALSE)+1)*($M83-1)/MAX(1,$L83),0))</x:f>
      </x:c>
      <x:c r="G83" s="127" t="str">
        <x:f>IF($E83&lt;&gt;1,"",MIN(VLOOKUP($C83,$A$14:$F$18,5,FALSE),VLOOKUP($C83,$A$14:$F$18,4,FALSE)+ROUND((VLOOKUP($C83,$A$14:$F$18,5,FALSE)-VLOOKUP($C83,$A$14:$F$18,4,FALSE)+1)*$M83/MAX(1,$L83),0)-1))</x:f>
      </x:c>
      <x:c r="H83" s="118" t="str">
        <x:f>IF($E83&lt;&gt;1,"",MAX(1,$G83-$F83+1))</x:f>
      </x:c>
      <x:c r="I83" s="118" t="str"/>
      <x:c r="J83" s="118" t="str">
        <x:v>Não iniciado</x:v>
      </x:c>
      <x:c r="K83" s="118" t="str"/>
      <x:c r="L83" s="118" t="n">
        <x:f>COUNTIFS($C$22:$C$100,$C83,$E$22:$E$100,1)</x:f>
        <x:v>0</x:v>
      </x:c>
      <x:c r="M83" s="118" t="str">
        <x:f>IF($E83=1,COUNTIFS($C$22:C83,$C83,$E$22:E83,1),"")</x:f>
      </x:c>
      <x:c r="N83" s="131" t="str">
        <x:f>IF($E83&lt;&gt;1,"",IF(AND($F83&lt;=N$21,$G83&gt;=N$20),"■",""))</x:f>
      </x:c>
      <x:c r="O83" s="131" t="str">
        <x:f>IF($E83&lt;&gt;1,"",IF(AND($F83&lt;=O$21,$G83&gt;=O$20),"■",""))</x:f>
      </x:c>
      <x:c r="P83" s="131" t="str">
        <x:f>IF($E83&lt;&gt;1,"",IF(AND($F83&lt;=P$21,$G83&gt;=P$20),"■",""))</x:f>
      </x:c>
      <x:c r="Q83" s="131" t="str">
        <x:f>IF($E83&lt;&gt;1,"",IF(AND($F83&lt;=Q$21,$G83&gt;=Q$20),"■",""))</x:f>
      </x:c>
      <x:c r="R83" s="131" t="str">
        <x:f>IF($E83&lt;&gt;1,"",IF(AND($F83&lt;=R$21,$G83&gt;=R$20),"■",""))</x:f>
      </x:c>
      <x:c r="S83" s="131" t="str">
        <x:f>IF($E83&lt;&gt;1,"",IF(AND($F83&lt;=S$21,$G83&gt;=S$20),"■",""))</x:f>
      </x:c>
      <x:c r="T83" s="131" t="str">
        <x:f>IF($E83&lt;&gt;1,"",IF(AND($F83&lt;=T$21,$G83&gt;=T$20),"■",""))</x:f>
      </x:c>
      <x:c r="U83" s="131" t="str">
        <x:f>IF($E83&lt;&gt;1,"",IF(AND($F83&lt;=U$21,$G83&gt;=U$20),"■",""))</x:f>
      </x:c>
      <x:c r="V83" s="131" t="str">
        <x:f>IF($E83&lt;&gt;1,"",IF(AND($F83&lt;=V$21,$G83&gt;=V$20),"■",""))</x:f>
      </x:c>
      <x:c r="W83" s="131" t="str">
        <x:f>IF($E83&lt;&gt;1,"",IF(AND($F83&lt;=W$21,$G83&gt;=W$20),"■",""))</x:f>
      </x:c>
      <x:c r="X83" s="131" t="str">
        <x:f>IF($E83&lt;&gt;1,"",IF(AND($F83&lt;=X$21,$G83&gt;=X$20),"■",""))</x:f>
      </x:c>
      <x:c r="Y83" s="131" t="str">
        <x:f>IF($E83&lt;&gt;1,"",IF(AND($F83&lt;=Y$21,$G83&gt;=Y$20),"■",""))</x:f>
      </x:c>
    </x:row>
    <x:row r="84">
      <x:c r="A84" s="118" t="n">
        <x:f>ROW()-21</x:f>
        <x:v>63</x:v>
      </x:c>
      <x:c r="B84" s="118" t="str">
        <x:f>Mapa_Selecao!A66</x:f>
        <x:v>G4_INCERT</x:v>
      </x:c>
      <x:c r="C84" s="118" t="str">
        <x:f>Mapa_Selecao!B66</x:f>
        <x:v>Gate 4 — Seleção e Teste</x:v>
      </x:c>
      <x:c r="D84" s="118" t="str">
        <x:f>Mapa_Selecao!C66</x:f>
        <x:v>Mapa de incertezas do conceito selecionado</x:v>
      </x:c>
      <x:c r="E84" s="118" t="n">
        <x:f>Mapa_Selecao!G66</x:f>
        <x:v>0</x:v>
      </x:c>
      <x:c r="F84" s="127" t="str">
        <x:f>IF($E84&lt;&gt;1,"",VLOOKUP($C84,$A$14:$F$18,4,FALSE)+ROUND((VLOOKUP($C84,$A$14:$F$18,5,FALSE)-VLOOKUP($C84,$A$14:$F$18,4,FALSE)+1)*($M84-1)/MAX(1,$L84),0))</x:f>
      </x:c>
      <x:c r="G84" s="127" t="str">
        <x:f>IF($E84&lt;&gt;1,"",MIN(VLOOKUP($C84,$A$14:$F$18,5,FALSE),VLOOKUP($C84,$A$14:$F$18,4,FALSE)+ROUND((VLOOKUP($C84,$A$14:$F$18,5,FALSE)-VLOOKUP($C84,$A$14:$F$18,4,FALSE)+1)*$M84/MAX(1,$L84),0)-1))</x:f>
      </x:c>
      <x:c r="H84" s="118" t="str">
        <x:f>IF($E84&lt;&gt;1,"",MAX(1,$G84-$F84+1))</x:f>
      </x:c>
      <x:c r="I84" s="118" t="str"/>
      <x:c r="J84" s="118" t="str">
        <x:v>Não iniciado</x:v>
      </x:c>
      <x:c r="K84" s="118" t="str"/>
      <x:c r="L84" s="118" t="n">
        <x:f>COUNTIFS($C$22:$C$100,$C84,$E$22:$E$100,1)</x:f>
        <x:v>0</x:v>
      </x:c>
      <x:c r="M84" s="118" t="str">
        <x:f>IF($E84=1,COUNTIFS($C$22:C84,$C84,$E$22:E84,1),"")</x:f>
      </x:c>
      <x:c r="N84" s="131" t="str">
        <x:f>IF($E84&lt;&gt;1,"",IF(AND($F84&lt;=N$21,$G84&gt;=N$20),"■",""))</x:f>
      </x:c>
      <x:c r="O84" s="131" t="str">
        <x:f>IF($E84&lt;&gt;1,"",IF(AND($F84&lt;=O$21,$G84&gt;=O$20),"■",""))</x:f>
      </x:c>
      <x:c r="P84" s="131" t="str">
        <x:f>IF($E84&lt;&gt;1,"",IF(AND($F84&lt;=P$21,$G84&gt;=P$20),"■",""))</x:f>
      </x:c>
      <x:c r="Q84" s="131" t="str">
        <x:f>IF($E84&lt;&gt;1,"",IF(AND($F84&lt;=Q$21,$G84&gt;=Q$20),"■",""))</x:f>
      </x:c>
      <x:c r="R84" s="131" t="str">
        <x:f>IF($E84&lt;&gt;1,"",IF(AND($F84&lt;=R$21,$G84&gt;=R$20),"■",""))</x:f>
      </x:c>
      <x:c r="S84" s="131" t="str">
        <x:f>IF($E84&lt;&gt;1,"",IF(AND($F84&lt;=S$21,$G84&gt;=S$20),"■",""))</x:f>
      </x:c>
      <x:c r="T84" s="131" t="str">
        <x:f>IF($E84&lt;&gt;1,"",IF(AND($F84&lt;=T$21,$G84&gt;=T$20),"■",""))</x:f>
      </x:c>
      <x:c r="U84" s="131" t="str">
        <x:f>IF($E84&lt;&gt;1,"",IF(AND($F84&lt;=U$21,$G84&gt;=U$20),"■",""))</x:f>
      </x:c>
      <x:c r="V84" s="131" t="str">
        <x:f>IF($E84&lt;&gt;1,"",IF(AND($F84&lt;=V$21,$G84&gt;=V$20),"■",""))</x:f>
      </x:c>
      <x:c r="W84" s="131" t="str">
        <x:f>IF($E84&lt;&gt;1,"",IF(AND($F84&lt;=W$21,$G84&gt;=W$20),"■",""))</x:f>
      </x:c>
      <x:c r="X84" s="131" t="str">
        <x:f>IF($E84&lt;&gt;1,"",IF(AND($F84&lt;=X$21,$G84&gt;=X$20),"■",""))</x:f>
      </x:c>
      <x:c r="Y84" s="131" t="str">
        <x:f>IF($E84&lt;&gt;1,"",IF(AND($F84&lt;=Y$21,$G84&gt;=Y$20),"■",""))</x:f>
      </x:c>
    </x:row>
    <x:row r="85">
      <x:c r="A85" s="118" t="n">
        <x:f>ROW()-21</x:f>
        <x:v>64</x:v>
      </x:c>
      <x:c r="B85" s="118" t="str">
        <x:f>Mapa_Selecao!A67</x:f>
        <x:v>G4_GONOGO</x:v>
      </x:c>
      <x:c r="C85" s="118" t="str">
        <x:f>Mapa_Selecao!B67</x:f>
        <x:v>Gate 4 — Seleção e Teste</x:v>
      </x:c>
      <x:c r="D85" s="118" t="str">
        <x:f>Mapa_Selecao!C67</x:f>
        <x:v>Matriz Go/No-Go — Gate 4</x:v>
      </x:c>
      <x:c r="E85" s="118" t="n">
        <x:f>Mapa_Selecao!G67</x:f>
        <x:v>0</x:v>
      </x:c>
      <x:c r="F85" s="127" t="str">
        <x:f>IF($E85&lt;&gt;1,"",VLOOKUP($C85,$A$14:$F$18,4,FALSE)+ROUND((VLOOKUP($C85,$A$14:$F$18,5,FALSE)-VLOOKUP($C85,$A$14:$F$18,4,FALSE)+1)*($M85-1)/MAX(1,$L85),0))</x:f>
      </x:c>
      <x:c r="G85" s="127" t="str">
        <x:f>IF($E85&lt;&gt;1,"",MIN(VLOOKUP($C85,$A$14:$F$18,5,FALSE),VLOOKUP($C85,$A$14:$F$18,4,FALSE)+ROUND((VLOOKUP($C85,$A$14:$F$18,5,FALSE)-VLOOKUP($C85,$A$14:$F$18,4,FALSE)+1)*$M85/MAX(1,$L85),0)-1))</x:f>
      </x:c>
      <x:c r="H85" s="118" t="str">
        <x:f>IF($E85&lt;&gt;1,"",MAX(1,$G85-$F85+1))</x:f>
      </x:c>
      <x:c r="I85" s="118" t="str"/>
      <x:c r="J85" s="118" t="str">
        <x:v>Não iniciado</x:v>
      </x:c>
      <x:c r="K85" s="118" t="str"/>
      <x:c r="L85" s="118" t="n">
        <x:f>COUNTIFS($C$22:$C$100,$C85,$E$22:$E$100,1)</x:f>
        <x:v>0</x:v>
      </x:c>
      <x:c r="M85" s="118" t="str">
        <x:f>IF($E85=1,COUNTIFS($C$22:C85,$C85,$E$22:E85,1),"")</x:f>
      </x:c>
      <x:c r="N85" s="131" t="str">
        <x:f>IF($E85&lt;&gt;1,"",IF(AND($F85&lt;=N$21,$G85&gt;=N$20),"■",""))</x:f>
      </x:c>
      <x:c r="O85" s="131" t="str">
        <x:f>IF($E85&lt;&gt;1,"",IF(AND($F85&lt;=O$21,$G85&gt;=O$20),"■",""))</x:f>
      </x:c>
      <x:c r="P85" s="131" t="str">
        <x:f>IF($E85&lt;&gt;1,"",IF(AND($F85&lt;=P$21,$G85&gt;=P$20),"■",""))</x:f>
      </x:c>
      <x:c r="Q85" s="131" t="str">
        <x:f>IF($E85&lt;&gt;1,"",IF(AND($F85&lt;=Q$21,$G85&gt;=Q$20),"■",""))</x:f>
      </x:c>
      <x:c r="R85" s="131" t="str">
        <x:f>IF($E85&lt;&gt;1,"",IF(AND($F85&lt;=R$21,$G85&gt;=R$20),"■",""))</x:f>
      </x:c>
      <x:c r="S85" s="131" t="str">
        <x:f>IF($E85&lt;&gt;1,"",IF(AND($F85&lt;=S$21,$G85&gt;=S$20),"■",""))</x:f>
      </x:c>
      <x:c r="T85" s="131" t="str">
        <x:f>IF($E85&lt;&gt;1,"",IF(AND($F85&lt;=T$21,$G85&gt;=T$20),"■",""))</x:f>
      </x:c>
      <x:c r="U85" s="131" t="str">
        <x:f>IF($E85&lt;&gt;1,"",IF(AND($F85&lt;=U$21,$G85&gt;=U$20),"■",""))</x:f>
      </x:c>
      <x:c r="V85" s="131" t="str">
        <x:f>IF($E85&lt;&gt;1,"",IF(AND($F85&lt;=V$21,$G85&gt;=V$20),"■",""))</x:f>
      </x:c>
      <x:c r="W85" s="131" t="str">
        <x:f>IF($E85&lt;&gt;1,"",IF(AND($F85&lt;=W$21,$G85&gt;=W$20),"■",""))</x:f>
      </x:c>
      <x:c r="X85" s="131" t="str">
        <x:f>IF($E85&lt;&gt;1,"",IF(AND($F85&lt;=X$21,$G85&gt;=X$20),"■",""))</x:f>
      </x:c>
      <x:c r="Y85" s="131" t="str">
        <x:f>IF($E85&lt;&gt;1,"",IF(AND($F85&lt;=Y$21,$G85&gt;=Y$20),"■",""))</x:f>
      </x:c>
    </x:row>
    <x:row r="86">
      <x:c r="A86" s="118" t="n">
        <x:f>ROW()-21</x:f>
        <x:v>65</x:v>
      </x:c>
      <x:c r="B86" s="118" t="str">
        <x:f>Mapa_Selecao!A68</x:f>
        <x:v>G5_MISSAO</x:v>
      </x:c>
      <x:c r="C86" s="118" t="str">
        <x:f>Mapa_Selecao!B68</x:f>
        <x:v>Gate 5 — Conceito Final Aprovado</x:v>
      </x:c>
      <x:c r="D86" s="118" t="str">
        <x:f>Mapa_Selecao!C68</x:f>
        <x:v>Declaração de missão do conceito</x:v>
      </x:c>
      <x:c r="E86" s="118" t="n">
        <x:f>Mapa_Selecao!G68</x:f>
        <x:v>0</x:v>
      </x:c>
      <x:c r="F86" s="127" t="str">
        <x:f>IF($E86&lt;&gt;1,"",VLOOKUP($C86,$A$14:$F$18,4,FALSE)+ROUND((VLOOKUP($C86,$A$14:$F$18,5,FALSE)-VLOOKUP($C86,$A$14:$F$18,4,FALSE)+1)*($M86-1)/MAX(1,$L86),0))</x:f>
      </x:c>
      <x:c r="G86" s="127" t="str">
        <x:f>IF($E86&lt;&gt;1,"",MIN(VLOOKUP($C86,$A$14:$F$18,5,FALSE),VLOOKUP($C86,$A$14:$F$18,4,FALSE)+ROUND((VLOOKUP($C86,$A$14:$F$18,5,FALSE)-VLOOKUP($C86,$A$14:$F$18,4,FALSE)+1)*$M86/MAX(1,$L86),0)-1))</x:f>
      </x:c>
      <x:c r="H86" s="118" t="str">
        <x:f>IF($E86&lt;&gt;1,"",MAX(1,$G86-$F86+1))</x:f>
      </x:c>
      <x:c r="I86" s="118" t="str"/>
      <x:c r="J86" s="118" t="str">
        <x:v>Não iniciado</x:v>
      </x:c>
      <x:c r="K86" s="118" t="str"/>
      <x:c r="L86" s="118" t="n">
        <x:f>COUNTIFS($C$22:$C$100,$C86,$E$22:$E$100,1)</x:f>
        <x:v>0</x:v>
      </x:c>
      <x:c r="M86" s="118" t="str">
        <x:f>IF($E86=1,COUNTIFS($C$22:C86,$C86,$E$22:E86,1),"")</x:f>
      </x:c>
      <x:c r="N86" s="131" t="str">
        <x:f>IF($E86&lt;&gt;1,"",IF(AND($F86&lt;=N$21,$G86&gt;=N$20),"■",""))</x:f>
      </x:c>
      <x:c r="O86" s="131" t="str">
        <x:f>IF($E86&lt;&gt;1,"",IF(AND($F86&lt;=O$21,$G86&gt;=O$20),"■",""))</x:f>
      </x:c>
      <x:c r="P86" s="131" t="str">
        <x:f>IF($E86&lt;&gt;1,"",IF(AND($F86&lt;=P$21,$G86&gt;=P$20),"■",""))</x:f>
      </x:c>
      <x:c r="Q86" s="131" t="str">
        <x:f>IF($E86&lt;&gt;1,"",IF(AND($F86&lt;=Q$21,$G86&gt;=Q$20),"■",""))</x:f>
      </x:c>
      <x:c r="R86" s="131" t="str">
        <x:f>IF($E86&lt;&gt;1,"",IF(AND($F86&lt;=R$21,$G86&gt;=R$20),"■",""))</x:f>
      </x:c>
      <x:c r="S86" s="131" t="str">
        <x:f>IF($E86&lt;&gt;1,"",IF(AND($F86&lt;=S$21,$G86&gt;=S$20),"■",""))</x:f>
      </x:c>
      <x:c r="T86" s="131" t="str">
        <x:f>IF($E86&lt;&gt;1,"",IF(AND($F86&lt;=T$21,$G86&gt;=T$20),"■",""))</x:f>
      </x:c>
      <x:c r="U86" s="131" t="str">
        <x:f>IF($E86&lt;&gt;1,"",IF(AND($F86&lt;=U$21,$G86&gt;=U$20),"■",""))</x:f>
      </x:c>
      <x:c r="V86" s="131" t="str">
        <x:f>IF($E86&lt;&gt;1,"",IF(AND($F86&lt;=V$21,$G86&gt;=V$20),"■",""))</x:f>
      </x:c>
      <x:c r="W86" s="131" t="str">
        <x:f>IF($E86&lt;&gt;1,"",IF(AND($F86&lt;=W$21,$G86&gt;=W$20),"■",""))</x:f>
      </x:c>
      <x:c r="X86" s="131" t="str">
        <x:f>IF($E86&lt;&gt;1,"",IF(AND($F86&lt;=X$21,$G86&gt;=X$20),"■",""))</x:f>
      </x:c>
      <x:c r="Y86" s="131" t="str">
        <x:f>IF($E86&lt;&gt;1,"",IF(AND($F86&lt;=Y$21,$G86&gt;=Y$20),"■",""))</x:f>
      </x:c>
    </x:row>
    <x:row r="87">
      <x:c r="A87" s="118" t="n">
        <x:f>ROW()-21</x:f>
        <x:v>66</x:v>
      </x:c>
      <x:c r="B87" s="118" t="str">
        <x:f>Mapa_Selecao!A69</x:f>
        <x:v>G5_REQ</x:v>
      </x:c>
      <x:c r="C87" s="118" t="str">
        <x:f>Mapa_Selecao!B69</x:f>
        <x:v>Gate 5 — Conceito Final Aprovado</x:v>
      </x:c>
      <x:c r="D87" s="118" t="str">
        <x:f>Mapa_Selecao!C69</x:f>
        <x:v>Requisitos conceituais preliminares</x:v>
      </x:c>
      <x:c r="E87" s="118" t="n">
        <x:f>Mapa_Selecao!G69</x:f>
        <x:v>0</x:v>
      </x:c>
      <x:c r="F87" s="127" t="str">
        <x:f>IF($E87&lt;&gt;1,"",VLOOKUP($C87,$A$14:$F$18,4,FALSE)+ROUND((VLOOKUP($C87,$A$14:$F$18,5,FALSE)-VLOOKUP($C87,$A$14:$F$18,4,FALSE)+1)*($M87-1)/MAX(1,$L87),0))</x:f>
      </x:c>
      <x:c r="G87" s="127" t="str">
        <x:f>IF($E87&lt;&gt;1,"",MIN(VLOOKUP($C87,$A$14:$F$18,5,FALSE),VLOOKUP($C87,$A$14:$F$18,4,FALSE)+ROUND((VLOOKUP($C87,$A$14:$F$18,5,FALSE)-VLOOKUP($C87,$A$14:$F$18,4,FALSE)+1)*$M87/MAX(1,$L87),0)-1))</x:f>
      </x:c>
      <x:c r="H87" s="118" t="str">
        <x:f>IF($E87&lt;&gt;1,"",MAX(1,$G87-$F87+1))</x:f>
      </x:c>
      <x:c r="I87" s="118" t="str"/>
      <x:c r="J87" s="118" t="str">
        <x:v>Não iniciado</x:v>
      </x:c>
      <x:c r="K87" s="118" t="str"/>
      <x:c r="L87" s="118" t="n">
        <x:f>COUNTIFS($C$22:$C$100,$C87,$E$22:$E$100,1)</x:f>
        <x:v>0</x:v>
      </x:c>
      <x:c r="M87" s="118" t="str">
        <x:f>IF($E87=1,COUNTIFS($C$22:C87,$C87,$E$22:E87,1),"")</x:f>
      </x:c>
      <x:c r="N87" s="131" t="str">
        <x:f>IF($E87&lt;&gt;1,"",IF(AND($F87&lt;=N$21,$G87&gt;=N$20),"■",""))</x:f>
      </x:c>
      <x:c r="O87" s="131" t="str">
        <x:f>IF($E87&lt;&gt;1,"",IF(AND($F87&lt;=O$21,$G87&gt;=O$20),"■",""))</x:f>
      </x:c>
      <x:c r="P87" s="131" t="str">
        <x:f>IF($E87&lt;&gt;1,"",IF(AND($F87&lt;=P$21,$G87&gt;=P$20),"■",""))</x:f>
      </x:c>
      <x:c r="Q87" s="131" t="str">
        <x:f>IF($E87&lt;&gt;1,"",IF(AND($F87&lt;=Q$21,$G87&gt;=Q$20),"■",""))</x:f>
      </x:c>
      <x:c r="R87" s="131" t="str">
        <x:f>IF($E87&lt;&gt;1,"",IF(AND($F87&lt;=R$21,$G87&gt;=R$20),"■",""))</x:f>
      </x:c>
      <x:c r="S87" s="131" t="str">
        <x:f>IF($E87&lt;&gt;1,"",IF(AND($F87&lt;=S$21,$G87&gt;=S$20),"■",""))</x:f>
      </x:c>
      <x:c r="T87" s="131" t="str">
        <x:f>IF($E87&lt;&gt;1,"",IF(AND($F87&lt;=T$21,$G87&gt;=T$20),"■",""))</x:f>
      </x:c>
      <x:c r="U87" s="131" t="str">
        <x:f>IF($E87&lt;&gt;1,"",IF(AND($F87&lt;=U$21,$G87&gt;=U$20),"■",""))</x:f>
      </x:c>
      <x:c r="V87" s="131" t="str">
        <x:f>IF($E87&lt;&gt;1,"",IF(AND($F87&lt;=V$21,$G87&gt;=V$20),"■",""))</x:f>
      </x:c>
      <x:c r="W87" s="131" t="str">
        <x:f>IF($E87&lt;&gt;1,"",IF(AND($F87&lt;=W$21,$G87&gt;=W$20),"■",""))</x:f>
      </x:c>
      <x:c r="X87" s="131" t="str">
        <x:f>IF($E87&lt;&gt;1,"",IF(AND($F87&lt;=X$21,$G87&gt;=X$20),"■",""))</x:f>
      </x:c>
      <x:c r="Y87" s="131" t="str">
        <x:f>IF($E87&lt;&gt;1,"",IF(AND($F87&lt;=Y$21,$G87&gt;=Y$20),"■",""))</x:f>
      </x:c>
    </x:row>
    <x:row r="88">
      <x:c r="A88" s="118" t="n">
        <x:f>ROW()-21</x:f>
        <x:v>67</x:v>
      </x:c>
      <x:c r="B88" s="118" t="str">
        <x:f>Mapa_Selecao!A70</x:f>
        <x:v>G5_UNS</x:v>
      </x:c>
      <x:c r="C88" s="118" t="str">
        <x:f>Mapa_Selecao!B70</x:f>
        <x:v>Gate 5 — Conceito Final Aprovado</x:v>
      </x:c>
      <x:c r="D88" s="118" t="str">
        <x:f>Mapa_Selecao!C70</x:f>
        <x:v>User Needs Statement</x:v>
      </x:c>
      <x:c r="E88" s="118" t="n">
        <x:f>Mapa_Selecao!G70</x:f>
        <x:v>0</x:v>
      </x:c>
      <x:c r="F88" s="127" t="str">
        <x:f>IF($E88&lt;&gt;1,"",VLOOKUP($C88,$A$14:$F$18,4,FALSE)+ROUND((VLOOKUP($C88,$A$14:$F$18,5,FALSE)-VLOOKUP($C88,$A$14:$F$18,4,FALSE)+1)*($M88-1)/MAX(1,$L88),0))</x:f>
      </x:c>
      <x:c r="G88" s="127" t="str">
        <x:f>IF($E88&lt;&gt;1,"",MIN(VLOOKUP($C88,$A$14:$F$18,5,FALSE),VLOOKUP($C88,$A$14:$F$18,4,FALSE)+ROUND((VLOOKUP($C88,$A$14:$F$18,5,FALSE)-VLOOKUP($C88,$A$14:$F$18,4,FALSE)+1)*$M88/MAX(1,$L88),0)-1))</x:f>
      </x:c>
      <x:c r="H88" s="118" t="str">
        <x:f>IF($E88&lt;&gt;1,"",MAX(1,$G88-$F88+1))</x:f>
      </x:c>
      <x:c r="I88" s="118" t="str"/>
      <x:c r="J88" s="118" t="str">
        <x:v>Não iniciado</x:v>
      </x:c>
      <x:c r="K88" s="118" t="str"/>
      <x:c r="L88" s="118" t="n">
        <x:f>COUNTIFS($C$22:$C$100,$C88,$E$22:$E$100,1)</x:f>
        <x:v>0</x:v>
      </x:c>
      <x:c r="M88" s="118" t="str">
        <x:f>IF($E88=1,COUNTIFS($C$22:C88,$C88,$E$22:E88,1),"")</x:f>
      </x:c>
      <x:c r="N88" s="131" t="str">
        <x:f>IF($E88&lt;&gt;1,"",IF(AND($F88&lt;=N$21,$G88&gt;=N$20),"■",""))</x:f>
      </x:c>
      <x:c r="O88" s="131" t="str">
        <x:f>IF($E88&lt;&gt;1,"",IF(AND($F88&lt;=O$21,$G88&gt;=O$20),"■",""))</x:f>
      </x:c>
      <x:c r="P88" s="131" t="str">
        <x:f>IF($E88&lt;&gt;1,"",IF(AND($F88&lt;=P$21,$G88&gt;=P$20),"■",""))</x:f>
      </x:c>
      <x:c r="Q88" s="131" t="str">
        <x:f>IF($E88&lt;&gt;1,"",IF(AND($F88&lt;=Q$21,$G88&gt;=Q$20),"■",""))</x:f>
      </x:c>
      <x:c r="R88" s="131" t="str">
        <x:f>IF($E88&lt;&gt;1,"",IF(AND($F88&lt;=R$21,$G88&gt;=R$20),"■",""))</x:f>
      </x:c>
      <x:c r="S88" s="131" t="str">
        <x:f>IF($E88&lt;&gt;1,"",IF(AND($F88&lt;=S$21,$G88&gt;=S$20),"■",""))</x:f>
      </x:c>
      <x:c r="T88" s="131" t="str">
        <x:f>IF($E88&lt;&gt;1,"",IF(AND($F88&lt;=T$21,$G88&gt;=T$20),"■",""))</x:f>
      </x:c>
      <x:c r="U88" s="131" t="str">
        <x:f>IF($E88&lt;&gt;1,"",IF(AND($F88&lt;=U$21,$G88&gt;=U$20),"■",""))</x:f>
      </x:c>
      <x:c r="V88" s="131" t="str">
        <x:f>IF($E88&lt;&gt;1,"",IF(AND($F88&lt;=V$21,$G88&gt;=V$20),"■",""))</x:f>
      </x:c>
      <x:c r="W88" s="131" t="str">
        <x:f>IF($E88&lt;&gt;1,"",IF(AND($F88&lt;=W$21,$G88&gt;=W$20),"■",""))</x:f>
      </x:c>
      <x:c r="X88" s="131" t="str">
        <x:f>IF($E88&lt;&gt;1,"",IF(AND($F88&lt;=X$21,$G88&gt;=X$20),"■",""))</x:f>
      </x:c>
      <x:c r="Y88" s="131" t="str">
        <x:f>IF($E88&lt;&gt;1,"",IF(AND($F88&lt;=Y$21,$G88&gt;=Y$20),"■",""))</x:f>
      </x:c>
    </x:row>
    <x:row r="89">
      <x:c r="A89" s="118" t="n">
        <x:f>ROW()-21</x:f>
        <x:v>68</x:v>
      </x:c>
      <x:c r="B89" s="118" t="str">
        <x:f>Mapa_Selecao!A71</x:f>
        <x:v>G5_CTQ</x:v>
      </x:c>
      <x:c r="C89" s="118" t="str">
        <x:f>Mapa_Selecao!B71</x:f>
        <x:v>Gate 5 — Conceito Final Aprovado</x:v>
      </x:c>
      <x:c r="D89" s="118" t="str">
        <x:f>Mapa_Selecao!C71</x:f>
        <x:v>CTQ consolidado do conceito</x:v>
      </x:c>
      <x:c r="E89" s="118" t="n">
        <x:f>Mapa_Selecao!G71</x:f>
        <x:v>0</x:v>
      </x:c>
      <x:c r="F89" s="127" t="str">
        <x:f>IF($E89&lt;&gt;1,"",VLOOKUP($C89,$A$14:$F$18,4,FALSE)+ROUND((VLOOKUP($C89,$A$14:$F$18,5,FALSE)-VLOOKUP($C89,$A$14:$F$18,4,FALSE)+1)*($M89-1)/MAX(1,$L89),0))</x:f>
      </x:c>
      <x:c r="G89" s="127" t="str">
        <x:f>IF($E89&lt;&gt;1,"",MIN(VLOOKUP($C89,$A$14:$F$18,5,FALSE),VLOOKUP($C89,$A$14:$F$18,4,FALSE)+ROUND((VLOOKUP($C89,$A$14:$F$18,5,FALSE)-VLOOKUP($C89,$A$14:$F$18,4,FALSE)+1)*$M89/MAX(1,$L89),0)-1))</x:f>
      </x:c>
      <x:c r="H89" s="118" t="str">
        <x:f>IF($E89&lt;&gt;1,"",MAX(1,$G89-$F89+1))</x:f>
      </x:c>
      <x:c r="I89" s="118" t="str"/>
      <x:c r="J89" s="118" t="str">
        <x:v>Não iniciado</x:v>
      </x:c>
      <x:c r="K89" s="118" t="str"/>
      <x:c r="L89" s="118" t="n">
        <x:f>COUNTIFS($C$22:$C$100,$C89,$E$22:$E$100,1)</x:f>
        <x:v>0</x:v>
      </x:c>
      <x:c r="M89" s="118" t="str">
        <x:f>IF($E89=1,COUNTIFS($C$22:C89,$C89,$E$22:E89,1),"")</x:f>
      </x:c>
      <x:c r="N89" s="131" t="str">
        <x:f>IF($E89&lt;&gt;1,"",IF(AND($F89&lt;=N$21,$G89&gt;=N$20),"■",""))</x:f>
      </x:c>
      <x:c r="O89" s="131" t="str">
        <x:f>IF($E89&lt;&gt;1,"",IF(AND($F89&lt;=O$21,$G89&gt;=O$20),"■",""))</x:f>
      </x:c>
      <x:c r="P89" s="131" t="str">
        <x:f>IF($E89&lt;&gt;1,"",IF(AND($F89&lt;=P$21,$G89&gt;=P$20),"■",""))</x:f>
      </x:c>
      <x:c r="Q89" s="131" t="str">
        <x:f>IF($E89&lt;&gt;1,"",IF(AND($F89&lt;=Q$21,$G89&gt;=Q$20),"■",""))</x:f>
      </x:c>
      <x:c r="R89" s="131" t="str">
        <x:f>IF($E89&lt;&gt;1,"",IF(AND($F89&lt;=R$21,$G89&gt;=R$20),"■",""))</x:f>
      </x:c>
      <x:c r="S89" s="131" t="str">
        <x:f>IF($E89&lt;&gt;1,"",IF(AND($F89&lt;=S$21,$G89&gt;=S$20),"■",""))</x:f>
      </x:c>
      <x:c r="T89" s="131" t="str">
        <x:f>IF($E89&lt;&gt;1,"",IF(AND($F89&lt;=T$21,$G89&gt;=T$20),"■",""))</x:f>
      </x:c>
      <x:c r="U89" s="131" t="str">
        <x:f>IF($E89&lt;&gt;1,"",IF(AND($F89&lt;=U$21,$G89&gt;=U$20),"■",""))</x:f>
      </x:c>
      <x:c r="V89" s="131" t="str">
        <x:f>IF($E89&lt;&gt;1,"",IF(AND($F89&lt;=V$21,$G89&gt;=V$20),"■",""))</x:f>
      </x:c>
      <x:c r="W89" s="131" t="str">
        <x:f>IF($E89&lt;&gt;1,"",IF(AND($F89&lt;=W$21,$G89&gt;=W$20),"■",""))</x:f>
      </x:c>
      <x:c r="X89" s="131" t="str">
        <x:f>IF($E89&lt;&gt;1,"",IF(AND($F89&lt;=X$21,$G89&gt;=X$20),"■",""))</x:f>
      </x:c>
      <x:c r="Y89" s="131" t="str">
        <x:f>IF($E89&lt;&gt;1,"",IF(AND($F89&lt;=Y$21,$G89&gt;=Y$20),"■",""))</x:f>
      </x:c>
    </x:row>
    <x:row r="90">
      <x:c r="A90" s="118" t="n">
        <x:f>ROW()-21</x:f>
        <x:v>69</x:v>
      </x:c>
      <x:c r="B90" s="118" t="str">
        <x:f>Mapa_Selecao!A72</x:f>
        <x:v>G5_QFD</x:v>
      </x:c>
      <x:c r="C90" s="118" t="str">
        <x:f>Mapa_Selecao!B72</x:f>
        <x:v>Gate 5 — Conceito Final Aprovado</x:v>
      </x:c>
      <x:c r="D90" s="118" t="str">
        <x:f>Mapa_Selecao!C72</x:f>
        <x:v>QFD conceitual consolidado</x:v>
      </x:c>
      <x:c r="E90" s="118" t="n">
        <x:f>Mapa_Selecao!G72</x:f>
        <x:v>0</x:v>
      </x:c>
      <x:c r="F90" s="127" t="str">
        <x:f>IF($E90&lt;&gt;1,"",VLOOKUP($C90,$A$14:$F$18,4,FALSE)+ROUND((VLOOKUP($C90,$A$14:$F$18,5,FALSE)-VLOOKUP($C90,$A$14:$F$18,4,FALSE)+1)*($M90-1)/MAX(1,$L90),0))</x:f>
      </x:c>
      <x:c r="G90" s="127" t="str">
        <x:f>IF($E90&lt;&gt;1,"",MIN(VLOOKUP($C90,$A$14:$F$18,5,FALSE),VLOOKUP($C90,$A$14:$F$18,4,FALSE)+ROUND((VLOOKUP($C90,$A$14:$F$18,5,FALSE)-VLOOKUP($C90,$A$14:$F$18,4,FALSE)+1)*$M90/MAX(1,$L90),0)-1))</x:f>
      </x:c>
      <x:c r="H90" s="118" t="str">
        <x:f>IF($E90&lt;&gt;1,"",MAX(1,$G90-$F90+1))</x:f>
      </x:c>
      <x:c r="I90" s="118" t="str"/>
      <x:c r="J90" s="118" t="str">
        <x:v>Não iniciado</x:v>
      </x:c>
      <x:c r="K90" s="118" t="str"/>
      <x:c r="L90" s="118" t="n">
        <x:f>COUNTIFS($C$22:$C$100,$C90,$E$22:$E$100,1)</x:f>
        <x:v>0</x:v>
      </x:c>
      <x:c r="M90" s="118" t="str">
        <x:f>IF($E90=1,COUNTIFS($C$22:C90,$C90,$E$22:E90,1),"")</x:f>
      </x:c>
      <x:c r="N90" s="131" t="str">
        <x:f>IF($E90&lt;&gt;1,"",IF(AND($F90&lt;=N$21,$G90&gt;=N$20),"■",""))</x:f>
      </x:c>
      <x:c r="O90" s="131" t="str">
        <x:f>IF($E90&lt;&gt;1,"",IF(AND($F90&lt;=O$21,$G90&gt;=O$20),"■",""))</x:f>
      </x:c>
      <x:c r="P90" s="131" t="str">
        <x:f>IF($E90&lt;&gt;1,"",IF(AND($F90&lt;=P$21,$G90&gt;=P$20),"■",""))</x:f>
      </x:c>
      <x:c r="Q90" s="131" t="str">
        <x:f>IF($E90&lt;&gt;1,"",IF(AND($F90&lt;=Q$21,$G90&gt;=Q$20),"■",""))</x:f>
      </x:c>
      <x:c r="R90" s="131" t="str">
        <x:f>IF($E90&lt;&gt;1,"",IF(AND($F90&lt;=R$21,$G90&gt;=R$20),"■",""))</x:f>
      </x:c>
      <x:c r="S90" s="131" t="str">
        <x:f>IF($E90&lt;&gt;1,"",IF(AND($F90&lt;=S$21,$G90&gt;=S$20),"■",""))</x:f>
      </x:c>
      <x:c r="T90" s="131" t="str">
        <x:f>IF($E90&lt;&gt;1,"",IF(AND($F90&lt;=T$21,$G90&gt;=T$20),"■",""))</x:f>
      </x:c>
      <x:c r="U90" s="131" t="str">
        <x:f>IF($E90&lt;&gt;1,"",IF(AND($F90&lt;=U$21,$G90&gt;=U$20),"■",""))</x:f>
      </x:c>
      <x:c r="V90" s="131" t="str">
        <x:f>IF($E90&lt;&gt;1,"",IF(AND($F90&lt;=V$21,$G90&gt;=V$20),"■",""))</x:f>
      </x:c>
      <x:c r="W90" s="131" t="str">
        <x:f>IF($E90&lt;&gt;1,"",IF(AND($F90&lt;=W$21,$G90&gt;=W$20),"■",""))</x:f>
      </x:c>
      <x:c r="X90" s="131" t="str">
        <x:f>IF($E90&lt;&gt;1,"",IF(AND($F90&lt;=X$21,$G90&gt;=X$20),"■",""))</x:f>
      </x:c>
      <x:c r="Y90" s="131" t="str">
        <x:f>IF($E90&lt;&gt;1,"",IF(AND($F90&lt;=Y$21,$G90&gt;=Y$20),"■",""))</x:f>
      </x:c>
    </x:row>
    <x:row r="91">
      <x:c r="A91" s="118" t="n">
        <x:f>ROW()-21</x:f>
        <x:v>70</x:v>
      </x:c>
      <x:c r="B91" s="118" t="str">
        <x:f>Mapa_Selecao!A73</x:f>
        <x:v>G5_CLAIMS</x:v>
      </x:c>
      <x:c r="C91" s="118" t="str">
        <x:f>Mapa_Selecao!B73</x:f>
        <x:v>Gate 5 — Conceito Final Aprovado</x:v>
      </x:c>
      <x:c r="D91" s="118" t="str">
        <x:f>Mapa_Selecao!C73</x:f>
        <x:v>Claims pretendidos</x:v>
      </x:c>
      <x:c r="E91" s="118" t="n">
        <x:f>Mapa_Selecao!G73</x:f>
        <x:v>0</x:v>
      </x:c>
      <x:c r="F91" s="127" t="str">
        <x:f>IF($E91&lt;&gt;1,"",VLOOKUP($C91,$A$14:$F$18,4,FALSE)+ROUND((VLOOKUP($C91,$A$14:$F$18,5,FALSE)-VLOOKUP($C91,$A$14:$F$18,4,FALSE)+1)*($M91-1)/MAX(1,$L91),0))</x:f>
      </x:c>
      <x:c r="G91" s="127" t="str">
        <x:f>IF($E91&lt;&gt;1,"",MIN(VLOOKUP($C91,$A$14:$F$18,5,FALSE),VLOOKUP($C91,$A$14:$F$18,4,FALSE)+ROUND((VLOOKUP($C91,$A$14:$F$18,5,FALSE)-VLOOKUP($C91,$A$14:$F$18,4,FALSE)+1)*$M91/MAX(1,$L91),0)-1))</x:f>
      </x:c>
      <x:c r="H91" s="118" t="str">
        <x:f>IF($E91&lt;&gt;1,"",MAX(1,$G91-$F91+1))</x:f>
      </x:c>
      <x:c r="I91" s="118" t="str"/>
      <x:c r="J91" s="118" t="str">
        <x:v>Não iniciado</x:v>
      </x:c>
      <x:c r="K91" s="118" t="str"/>
      <x:c r="L91" s="118" t="n">
        <x:f>COUNTIFS($C$22:$C$100,$C91,$E$22:$E$100,1)</x:f>
        <x:v>0</x:v>
      </x:c>
      <x:c r="M91" s="118" t="str">
        <x:f>IF($E91=1,COUNTIFS($C$22:C91,$C91,$E$22:E91,1),"")</x:f>
      </x:c>
      <x:c r="N91" s="131" t="str">
        <x:f>IF($E91&lt;&gt;1,"",IF(AND($F91&lt;=N$21,$G91&gt;=N$20),"■",""))</x:f>
      </x:c>
      <x:c r="O91" s="131" t="str">
        <x:f>IF($E91&lt;&gt;1,"",IF(AND($F91&lt;=O$21,$G91&gt;=O$20),"■",""))</x:f>
      </x:c>
      <x:c r="P91" s="131" t="str">
        <x:f>IF($E91&lt;&gt;1,"",IF(AND($F91&lt;=P$21,$G91&gt;=P$20),"■",""))</x:f>
      </x:c>
      <x:c r="Q91" s="131" t="str">
        <x:f>IF($E91&lt;&gt;1,"",IF(AND($F91&lt;=Q$21,$G91&gt;=Q$20),"■",""))</x:f>
      </x:c>
      <x:c r="R91" s="131" t="str">
        <x:f>IF($E91&lt;&gt;1,"",IF(AND($F91&lt;=R$21,$G91&gt;=R$20),"■",""))</x:f>
      </x:c>
      <x:c r="S91" s="131" t="str">
        <x:f>IF($E91&lt;&gt;1,"",IF(AND($F91&lt;=S$21,$G91&gt;=S$20),"■",""))</x:f>
      </x:c>
      <x:c r="T91" s="131" t="str">
        <x:f>IF($E91&lt;&gt;1,"",IF(AND($F91&lt;=T$21,$G91&gt;=T$20),"■",""))</x:f>
      </x:c>
      <x:c r="U91" s="131" t="str">
        <x:f>IF($E91&lt;&gt;1,"",IF(AND($F91&lt;=U$21,$G91&gt;=U$20),"■",""))</x:f>
      </x:c>
      <x:c r="V91" s="131" t="str">
        <x:f>IF($E91&lt;&gt;1,"",IF(AND($F91&lt;=V$21,$G91&gt;=V$20),"■",""))</x:f>
      </x:c>
      <x:c r="W91" s="131" t="str">
        <x:f>IF($E91&lt;&gt;1,"",IF(AND($F91&lt;=W$21,$G91&gt;=W$20),"■",""))</x:f>
      </x:c>
      <x:c r="X91" s="131" t="str">
        <x:f>IF($E91&lt;&gt;1,"",IF(AND($F91&lt;=X$21,$G91&gt;=X$20),"■",""))</x:f>
      </x:c>
      <x:c r="Y91" s="131" t="str">
        <x:f>IF($E91&lt;&gt;1,"",IF(AND($F91&lt;=Y$21,$G91&gt;=Y$20),"■",""))</x:f>
      </x:c>
    </x:row>
    <x:row r="92">
      <x:c r="A92" s="118" t="n">
        <x:f>ROW()-21</x:f>
        <x:v>71</x:v>
      </x:c>
      <x:c r="B92" s="118" t="str">
        <x:f>Mapa_Selecao!A74</x:f>
        <x:v>G5_INCERT</x:v>
      </x:c>
      <x:c r="C92" s="118" t="str">
        <x:f>Mapa_Selecao!B74</x:f>
        <x:v>Gate 5 — Conceito Final Aprovado</x:v>
      </x:c>
      <x:c r="D92" s="118" t="str">
        <x:f>Mapa_Selecao!C74</x:f>
        <x:v>Mapa final de incertezas</x:v>
      </x:c>
      <x:c r="E92" s="118" t="n">
        <x:f>Mapa_Selecao!G74</x:f>
        <x:v>0</x:v>
      </x:c>
      <x:c r="F92" s="127" t="str">
        <x:f>IF($E92&lt;&gt;1,"",VLOOKUP($C92,$A$14:$F$18,4,FALSE)+ROUND((VLOOKUP($C92,$A$14:$F$18,5,FALSE)-VLOOKUP($C92,$A$14:$F$18,4,FALSE)+1)*($M92-1)/MAX(1,$L92),0))</x:f>
      </x:c>
      <x:c r="G92" s="127" t="str">
        <x:f>IF($E92&lt;&gt;1,"",MIN(VLOOKUP($C92,$A$14:$F$18,5,FALSE),VLOOKUP($C92,$A$14:$F$18,4,FALSE)+ROUND((VLOOKUP($C92,$A$14:$F$18,5,FALSE)-VLOOKUP($C92,$A$14:$F$18,4,FALSE)+1)*$M92/MAX(1,$L92),0)-1))</x:f>
      </x:c>
      <x:c r="H92" s="118" t="str">
        <x:f>IF($E92&lt;&gt;1,"",MAX(1,$G92-$F92+1))</x:f>
      </x:c>
      <x:c r="I92" s="118" t="str"/>
      <x:c r="J92" s="118" t="str">
        <x:v>Não iniciado</x:v>
      </x:c>
      <x:c r="K92" s="118" t="str"/>
      <x:c r="L92" s="118" t="n">
        <x:f>COUNTIFS($C$22:$C$100,$C92,$E$22:$E$100,1)</x:f>
        <x:v>0</x:v>
      </x:c>
      <x:c r="M92" s="118" t="str">
        <x:f>IF($E92=1,COUNTIFS($C$22:C92,$C92,$E$22:E92,1),"")</x:f>
      </x:c>
      <x:c r="N92" s="131" t="str">
        <x:f>IF($E92&lt;&gt;1,"",IF(AND($F92&lt;=N$21,$G92&gt;=N$20),"■",""))</x:f>
      </x:c>
      <x:c r="O92" s="131" t="str">
        <x:f>IF($E92&lt;&gt;1,"",IF(AND($F92&lt;=O$21,$G92&gt;=O$20),"■",""))</x:f>
      </x:c>
      <x:c r="P92" s="131" t="str">
        <x:f>IF($E92&lt;&gt;1,"",IF(AND($F92&lt;=P$21,$G92&gt;=P$20),"■",""))</x:f>
      </x:c>
      <x:c r="Q92" s="131" t="str">
        <x:f>IF($E92&lt;&gt;1,"",IF(AND($F92&lt;=Q$21,$G92&gt;=Q$20),"■",""))</x:f>
      </x:c>
      <x:c r="R92" s="131" t="str">
        <x:f>IF($E92&lt;&gt;1,"",IF(AND($F92&lt;=R$21,$G92&gt;=R$20),"■",""))</x:f>
      </x:c>
      <x:c r="S92" s="131" t="str">
        <x:f>IF($E92&lt;&gt;1,"",IF(AND($F92&lt;=S$21,$G92&gt;=S$20),"■",""))</x:f>
      </x:c>
      <x:c r="T92" s="131" t="str">
        <x:f>IF($E92&lt;&gt;1,"",IF(AND($F92&lt;=T$21,$G92&gt;=T$20),"■",""))</x:f>
      </x:c>
      <x:c r="U92" s="131" t="str">
        <x:f>IF($E92&lt;&gt;1,"",IF(AND($F92&lt;=U$21,$G92&gt;=U$20),"■",""))</x:f>
      </x:c>
      <x:c r="V92" s="131" t="str">
        <x:f>IF($E92&lt;&gt;1,"",IF(AND($F92&lt;=V$21,$G92&gt;=V$20),"■",""))</x:f>
      </x:c>
      <x:c r="W92" s="131" t="str">
        <x:f>IF($E92&lt;&gt;1,"",IF(AND($F92&lt;=W$21,$G92&gt;=W$20),"■",""))</x:f>
      </x:c>
      <x:c r="X92" s="131" t="str">
        <x:f>IF($E92&lt;&gt;1,"",IF(AND($F92&lt;=X$21,$G92&gt;=X$20),"■",""))</x:f>
      </x:c>
      <x:c r="Y92" s="131" t="str">
        <x:f>IF($E92&lt;&gt;1,"",IF(AND($F92&lt;=Y$21,$G92&gt;=Y$20),"■",""))</x:f>
      </x:c>
    </x:row>
    <x:row r="93">
      <x:c r="A93" s="118" t="n">
        <x:f>ROW()-21</x:f>
        <x:v>72</x:v>
      </x:c>
      <x:c r="B93" s="118" t="str">
        <x:f>Mapa_Selecao!A75</x:f>
        <x:v>G5_APREND</x:v>
      </x:c>
      <x:c r="C93" s="118" t="str">
        <x:f>Mapa_Selecao!B75</x:f>
        <x:v>Gate 5 — Conceito Final Aprovado</x:v>
      </x:c>
      <x:c r="D93" s="118" t="str">
        <x:f>Mapa_Selecao!C75</x:f>
        <x:v>Plano de aprendizagem para projeto</x:v>
      </x:c>
      <x:c r="E93" s="118" t="n">
        <x:f>Mapa_Selecao!G75</x:f>
        <x:v>0</x:v>
      </x:c>
      <x:c r="F93" s="127" t="str">
        <x:f>IF($E93&lt;&gt;1,"",VLOOKUP($C93,$A$14:$F$18,4,FALSE)+ROUND((VLOOKUP($C93,$A$14:$F$18,5,FALSE)-VLOOKUP($C93,$A$14:$F$18,4,FALSE)+1)*($M93-1)/MAX(1,$L93),0))</x:f>
      </x:c>
      <x:c r="G93" s="127" t="str">
        <x:f>IF($E93&lt;&gt;1,"",MIN(VLOOKUP($C93,$A$14:$F$18,5,FALSE),VLOOKUP($C93,$A$14:$F$18,4,FALSE)+ROUND((VLOOKUP($C93,$A$14:$F$18,5,FALSE)-VLOOKUP($C93,$A$14:$F$18,4,FALSE)+1)*$M93/MAX(1,$L93),0)-1))</x:f>
      </x:c>
      <x:c r="H93" s="118" t="str">
        <x:f>IF($E93&lt;&gt;1,"",MAX(1,$G93-$F93+1))</x:f>
      </x:c>
      <x:c r="I93" s="118" t="str"/>
      <x:c r="J93" s="118" t="str">
        <x:v>Não iniciado</x:v>
      </x:c>
      <x:c r="K93" s="118" t="str"/>
      <x:c r="L93" s="118" t="n">
        <x:f>COUNTIFS($C$22:$C$100,$C93,$E$22:$E$100,1)</x:f>
        <x:v>0</x:v>
      </x:c>
      <x:c r="M93" s="118" t="str">
        <x:f>IF($E93=1,COUNTIFS($C$22:C93,$C93,$E$22:E93,1),"")</x:f>
      </x:c>
      <x:c r="N93" s="131" t="str">
        <x:f>IF($E93&lt;&gt;1,"",IF(AND($F93&lt;=N$21,$G93&gt;=N$20),"■",""))</x:f>
      </x:c>
      <x:c r="O93" s="131" t="str">
        <x:f>IF($E93&lt;&gt;1,"",IF(AND($F93&lt;=O$21,$G93&gt;=O$20),"■",""))</x:f>
      </x:c>
      <x:c r="P93" s="131" t="str">
        <x:f>IF($E93&lt;&gt;1,"",IF(AND($F93&lt;=P$21,$G93&gt;=P$20),"■",""))</x:f>
      </x:c>
      <x:c r="Q93" s="131" t="str">
        <x:f>IF($E93&lt;&gt;1,"",IF(AND($F93&lt;=Q$21,$G93&gt;=Q$20),"■",""))</x:f>
      </x:c>
      <x:c r="R93" s="131" t="str">
        <x:f>IF($E93&lt;&gt;1,"",IF(AND($F93&lt;=R$21,$G93&gt;=R$20),"■",""))</x:f>
      </x:c>
      <x:c r="S93" s="131" t="str">
        <x:f>IF($E93&lt;&gt;1,"",IF(AND($F93&lt;=S$21,$G93&gt;=S$20),"■",""))</x:f>
      </x:c>
      <x:c r="T93" s="131" t="str">
        <x:f>IF($E93&lt;&gt;1,"",IF(AND($F93&lt;=T$21,$G93&gt;=T$20),"■",""))</x:f>
      </x:c>
      <x:c r="U93" s="131" t="str">
        <x:f>IF($E93&lt;&gt;1,"",IF(AND($F93&lt;=U$21,$G93&gt;=U$20),"■",""))</x:f>
      </x:c>
      <x:c r="V93" s="131" t="str">
        <x:f>IF($E93&lt;&gt;1,"",IF(AND($F93&lt;=V$21,$G93&gt;=V$20),"■",""))</x:f>
      </x:c>
      <x:c r="W93" s="131" t="str">
        <x:f>IF($E93&lt;&gt;1,"",IF(AND($F93&lt;=W$21,$G93&gt;=W$20),"■",""))</x:f>
      </x:c>
      <x:c r="X93" s="131" t="str">
        <x:f>IF($E93&lt;&gt;1,"",IF(AND($F93&lt;=X$21,$G93&gt;=X$20),"■",""))</x:f>
      </x:c>
      <x:c r="Y93" s="131" t="str">
        <x:f>IF($E93&lt;&gt;1,"",IF(AND($F93&lt;=Y$21,$G93&gt;=Y$20),"■",""))</x:f>
      </x:c>
    </x:row>
    <x:row r="94">
      <x:c r="A94" s="118" t="n">
        <x:f>ROW()-21</x:f>
        <x:v>73</x:v>
      </x:c>
      <x:c r="B94" s="118" t="str">
        <x:f>Mapa_Selecao!A76</x:f>
        <x:v>G5_PREM</x:v>
      </x:c>
      <x:c r="C94" s="118" t="str">
        <x:f>Mapa_Selecao!B76</x:f>
        <x:v>Gate 5 — Conceito Final Aprovado</x:v>
      </x:c>
      <x:c r="D94" s="118" t="str">
        <x:f>Mapa_Selecao!C76</x:f>
        <x:v>Premissas e restrições do conceito</x:v>
      </x:c>
      <x:c r="E94" s="118" t="n">
        <x:f>Mapa_Selecao!G76</x:f>
        <x:v>0</x:v>
      </x:c>
      <x:c r="F94" s="127" t="str">
        <x:f>IF($E94&lt;&gt;1,"",VLOOKUP($C94,$A$14:$F$18,4,FALSE)+ROUND((VLOOKUP($C94,$A$14:$F$18,5,FALSE)-VLOOKUP($C94,$A$14:$F$18,4,FALSE)+1)*($M94-1)/MAX(1,$L94),0))</x:f>
      </x:c>
      <x:c r="G94" s="127" t="str">
        <x:f>IF($E94&lt;&gt;1,"",MIN(VLOOKUP($C94,$A$14:$F$18,5,FALSE),VLOOKUP($C94,$A$14:$F$18,4,FALSE)+ROUND((VLOOKUP($C94,$A$14:$F$18,5,FALSE)-VLOOKUP($C94,$A$14:$F$18,4,FALSE)+1)*$M94/MAX(1,$L94),0)-1))</x:f>
      </x:c>
      <x:c r="H94" s="118" t="str">
        <x:f>IF($E94&lt;&gt;1,"",MAX(1,$G94-$F94+1))</x:f>
      </x:c>
      <x:c r="I94" s="118" t="str"/>
      <x:c r="J94" s="118" t="str">
        <x:v>Não iniciado</x:v>
      </x:c>
      <x:c r="K94" s="118" t="str"/>
      <x:c r="L94" s="118" t="n">
        <x:f>COUNTIFS($C$22:$C$100,$C94,$E$22:$E$100,1)</x:f>
        <x:v>0</x:v>
      </x:c>
      <x:c r="M94" s="118" t="str">
        <x:f>IF($E94=1,COUNTIFS($C$22:C94,$C94,$E$22:E94,1),"")</x:f>
      </x:c>
      <x:c r="N94" s="131" t="str">
        <x:f>IF($E94&lt;&gt;1,"",IF(AND($F94&lt;=N$21,$G94&gt;=N$20),"■",""))</x:f>
      </x:c>
      <x:c r="O94" s="131" t="str">
        <x:f>IF($E94&lt;&gt;1,"",IF(AND($F94&lt;=O$21,$G94&gt;=O$20),"■",""))</x:f>
      </x:c>
      <x:c r="P94" s="131" t="str">
        <x:f>IF($E94&lt;&gt;1,"",IF(AND($F94&lt;=P$21,$G94&gt;=P$20),"■",""))</x:f>
      </x:c>
      <x:c r="Q94" s="131" t="str">
        <x:f>IF($E94&lt;&gt;1,"",IF(AND($F94&lt;=Q$21,$G94&gt;=Q$20),"■",""))</x:f>
      </x:c>
      <x:c r="R94" s="131" t="str">
        <x:f>IF($E94&lt;&gt;1,"",IF(AND($F94&lt;=R$21,$G94&gt;=R$20),"■",""))</x:f>
      </x:c>
      <x:c r="S94" s="131" t="str">
        <x:f>IF($E94&lt;&gt;1,"",IF(AND($F94&lt;=S$21,$G94&gt;=S$20),"■",""))</x:f>
      </x:c>
      <x:c r="T94" s="131" t="str">
        <x:f>IF($E94&lt;&gt;1,"",IF(AND($F94&lt;=T$21,$G94&gt;=T$20),"■",""))</x:f>
      </x:c>
      <x:c r="U94" s="131" t="str">
        <x:f>IF($E94&lt;&gt;1,"",IF(AND($F94&lt;=U$21,$G94&gt;=U$20),"■",""))</x:f>
      </x:c>
      <x:c r="V94" s="131" t="str">
        <x:f>IF($E94&lt;&gt;1,"",IF(AND($F94&lt;=V$21,$G94&gt;=V$20),"■",""))</x:f>
      </x:c>
      <x:c r="W94" s="131" t="str">
        <x:f>IF($E94&lt;&gt;1,"",IF(AND($F94&lt;=W$21,$G94&gt;=W$20),"■",""))</x:f>
      </x:c>
      <x:c r="X94" s="131" t="str">
        <x:f>IF($E94&lt;&gt;1,"",IF(AND($F94&lt;=X$21,$G94&gt;=X$20),"■",""))</x:f>
      </x:c>
      <x:c r="Y94" s="131" t="str">
        <x:f>IF($E94&lt;&gt;1,"",IF(AND($F94&lt;=Y$21,$G94&gt;=Y$20),"■",""))</x:f>
      </x:c>
    </x:row>
    <x:row r="95">
      <x:c r="A95" s="118" t="n">
        <x:f>ROW()-21</x:f>
        <x:v>74</x:v>
      </x:c>
      <x:c r="B95" s="118" t="str">
        <x:f>Mapa_Selecao!A77</x:f>
        <x:v>G5_RECOM</x:v>
      </x:c>
      <x:c r="C95" s="118" t="str">
        <x:f>Mapa_Selecao!B77</x:f>
        <x:v>Gate 5 — Conceito Final Aprovado</x:v>
      </x:c>
      <x:c r="D95" s="118" t="str">
        <x:f>Mapa_Selecao!C77</x:f>
        <x:v>Recomendações para próxima fase</x:v>
      </x:c>
      <x:c r="E95" s="118" t="n">
        <x:f>Mapa_Selecao!G77</x:f>
        <x:v>0</x:v>
      </x:c>
      <x:c r="F95" s="127" t="str">
        <x:f>IF($E95&lt;&gt;1,"",VLOOKUP($C95,$A$14:$F$18,4,FALSE)+ROUND((VLOOKUP($C95,$A$14:$F$18,5,FALSE)-VLOOKUP($C95,$A$14:$F$18,4,FALSE)+1)*($M95-1)/MAX(1,$L95),0))</x:f>
      </x:c>
      <x:c r="G95" s="127" t="str">
        <x:f>IF($E95&lt;&gt;1,"",MIN(VLOOKUP($C95,$A$14:$F$18,5,FALSE),VLOOKUP($C95,$A$14:$F$18,4,FALSE)+ROUND((VLOOKUP($C95,$A$14:$F$18,5,FALSE)-VLOOKUP($C95,$A$14:$F$18,4,FALSE)+1)*$M95/MAX(1,$L95),0)-1))</x:f>
      </x:c>
      <x:c r="H95" s="118" t="str">
        <x:f>IF($E95&lt;&gt;1,"",MAX(1,$G95-$F95+1))</x:f>
      </x:c>
      <x:c r="I95" s="118" t="str"/>
      <x:c r="J95" s="118" t="str">
        <x:v>Não iniciado</x:v>
      </x:c>
      <x:c r="K95" s="118" t="str"/>
      <x:c r="L95" s="118" t="n">
        <x:f>COUNTIFS($C$22:$C$100,$C95,$E$22:$E$100,1)</x:f>
        <x:v>0</x:v>
      </x:c>
      <x:c r="M95" s="118" t="str">
        <x:f>IF($E95=1,COUNTIFS($C$22:C95,$C95,$E$22:E95,1),"")</x:f>
      </x:c>
      <x:c r="N95" s="131" t="str">
        <x:f>IF($E95&lt;&gt;1,"",IF(AND($F95&lt;=N$21,$G95&gt;=N$20),"■",""))</x:f>
      </x:c>
      <x:c r="O95" s="131" t="str">
        <x:f>IF($E95&lt;&gt;1,"",IF(AND($F95&lt;=O$21,$G95&gt;=O$20),"■",""))</x:f>
      </x:c>
      <x:c r="P95" s="131" t="str">
        <x:f>IF($E95&lt;&gt;1,"",IF(AND($F95&lt;=P$21,$G95&gt;=P$20),"■",""))</x:f>
      </x:c>
      <x:c r="Q95" s="131" t="str">
        <x:f>IF($E95&lt;&gt;1,"",IF(AND($F95&lt;=Q$21,$G95&gt;=Q$20),"■",""))</x:f>
      </x:c>
      <x:c r="R95" s="131" t="str">
        <x:f>IF($E95&lt;&gt;1,"",IF(AND($F95&lt;=R$21,$G95&gt;=R$20),"■",""))</x:f>
      </x:c>
      <x:c r="S95" s="131" t="str">
        <x:f>IF($E95&lt;&gt;1,"",IF(AND($F95&lt;=S$21,$G95&gt;=S$20),"■",""))</x:f>
      </x:c>
      <x:c r="T95" s="131" t="str">
        <x:f>IF($E95&lt;&gt;1,"",IF(AND($F95&lt;=T$21,$G95&gt;=T$20),"■",""))</x:f>
      </x:c>
      <x:c r="U95" s="131" t="str">
        <x:f>IF($E95&lt;&gt;1,"",IF(AND($F95&lt;=U$21,$G95&gt;=U$20),"■",""))</x:f>
      </x:c>
      <x:c r="V95" s="131" t="str">
        <x:f>IF($E95&lt;&gt;1,"",IF(AND($F95&lt;=V$21,$G95&gt;=V$20),"■",""))</x:f>
      </x:c>
      <x:c r="W95" s="131" t="str">
        <x:f>IF($E95&lt;&gt;1,"",IF(AND($F95&lt;=W$21,$G95&gt;=W$20),"■",""))</x:f>
      </x:c>
      <x:c r="X95" s="131" t="str">
        <x:f>IF($E95&lt;&gt;1,"",IF(AND($F95&lt;=X$21,$G95&gt;=X$20),"■",""))</x:f>
      </x:c>
      <x:c r="Y95" s="131" t="str">
        <x:f>IF($E95&lt;&gt;1,"",IF(AND($F95&lt;=Y$21,$G95&gt;=Y$20),"■",""))</x:f>
      </x:c>
    </x:row>
    <x:row r="96">
      <x:c r="A96" s="118" t="n">
        <x:f>ROW()-21</x:f>
        <x:v>75</x:v>
      </x:c>
      <x:c r="B96" s="118" t="str">
        <x:f>Mapa_Selecao!A78</x:f>
        <x:v>G5_ONEPAGE</x:v>
      </x:c>
      <x:c r="C96" s="118" t="str">
        <x:f>Mapa_Selecao!B78</x:f>
        <x:v>Gate 5 — Conceito Final Aprovado</x:v>
      </x:c>
      <x:c r="D96" s="118" t="str">
        <x:f>Mapa_Selecao!C78</x:f>
        <x:v>One-Page Concept</x:v>
      </x:c>
      <x:c r="E96" s="118" t="n">
        <x:f>Mapa_Selecao!G78</x:f>
        <x:v>0</x:v>
      </x:c>
      <x:c r="F96" s="127" t="str">
        <x:f>IF($E96&lt;&gt;1,"",VLOOKUP($C96,$A$14:$F$18,4,FALSE)+ROUND((VLOOKUP($C96,$A$14:$F$18,5,FALSE)-VLOOKUP($C96,$A$14:$F$18,4,FALSE)+1)*($M96-1)/MAX(1,$L96),0))</x:f>
      </x:c>
      <x:c r="G96" s="127" t="str">
        <x:f>IF($E96&lt;&gt;1,"",MIN(VLOOKUP($C96,$A$14:$F$18,5,FALSE),VLOOKUP($C96,$A$14:$F$18,4,FALSE)+ROUND((VLOOKUP($C96,$A$14:$F$18,5,FALSE)-VLOOKUP($C96,$A$14:$F$18,4,FALSE)+1)*$M96/MAX(1,$L96),0)-1))</x:f>
      </x:c>
      <x:c r="H96" s="118" t="str">
        <x:f>IF($E96&lt;&gt;1,"",MAX(1,$G96-$F96+1))</x:f>
      </x:c>
      <x:c r="I96" s="118" t="str"/>
      <x:c r="J96" s="118" t="str">
        <x:v>Não iniciado</x:v>
      </x:c>
      <x:c r="K96" s="118" t="str"/>
      <x:c r="L96" s="118" t="n">
        <x:f>COUNTIFS($C$22:$C$100,$C96,$E$22:$E$100,1)</x:f>
        <x:v>0</x:v>
      </x:c>
      <x:c r="M96" s="118" t="str">
        <x:f>IF($E96=1,COUNTIFS($C$22:C96,$C96,$E$22:E96,1),"")</x:f>
      </x:c>
      <x:c r="N96" s="131" t="str">
        <x:f>IF($E96&lt;&gt;1,"",IF(AND($F96&lt;=N$21,$G96&gt;=N$20),"■",""))</x:f>
      </x:c>
      <x:c r="O96" s="131" t="str">
        <x:f>IF($E96&lt;&gt;1,"",IF(AND($F96&lt;=O$21,$G96&gt;=O$20),"■",""))</x:f>
      </x:c>
      <x:c r="P96" s="131" t="str">
        <x:f>IF($E96&lt;&gt;1,"",IF(AND($F96&lt;=P$21,$G96&gt;=P$20),"■",""))</x:f>
      </x:c>
      <x:c r="Q96" s="131" t="str">
        <x:f>IF($E96&lt;&gt;1,"",IF(AND($F96&lt;=Q$21,$G96&gt;=Q$20),"■",""))</x:f>
      </x:c>
      <x:c r="R96" s="131" t="str">
        <x:f>IF($E96&lt;&gt;1,"",IF(AND($F96&lt;=R$21,$G96&gt;=R$20),"■",""))</x:f>
      </x:c>
      <x:c r="S96" s="131" t="str">
        <x:f>IF($E96&lt;&gt;1,"",IF(AND($F96&lt;=S$21,$G96&gt;=S$20),"■",""))</x:f>
      </x:c>
      <x:c r="T96" s="131" t="str">
        <x:f>IF($E96&lt;&gt;1,"",IF(AND($F96&lt;=T$21,$G96&gt;=T$20),"■",""))</x:f>
      </x:c>
      <x:c r="U96" s="131" t="str">
        <x:f>IF($E96&lt;&gt;1,"",IF(AND($F96&lt;=U$21,$G96&gt;=U$20),"■",""))</x:f>
      </x:c>
      <x:c r="V96" s="131" t="str">
        <x:f>IF($E96&lt;&gt;1,"",IF(AND($F96&lt;=V$21,$G96&gt;=V$20),"■",""))</x:f>
      </x:c>
      <x:c r="W96" s="131" t="str">
        <x:f>IF($E96&lt;&gt;1,"",IF(AND($F96&lt;=W$21,$G96&gt;=W$20),"■",""))</x:f>
      </x:c>
      <x:c r="X96" s="131" t="str">
        <x:f>IF($E96&lt;&gt;1,"",IF(AND($F96&lt;=X$21,$G96&gt;=X$20),"■",""))</x:f>
      </x:c>
      <x:c r="Y96" s="131" t="str">
        <x:f>IF($E96&lt;&gt;1,"",IF(AND($F96&lt;=Y$21,$G96&gt;=Y$20),"■",""))</x:f>
      </x:c>
    </x:row>
    <x:row r="97">
      <x:c r="A97" s="118" t="n">
        <x:f>ROW()-21</x:f>
        <x:v>76</x:v>
      </x:c>
      <x:c r="B97" s="118" t="str">
        <x:f>Mapa_Selecao!A79</x:f>
        <x:v>G5_RELFINAL</x:v>
      </x:c>
      <x:c r="C97" s="118" t="str">
        <x:f>Mapa_Selecao!B79</x:f>
        <x:v>Gate 5 — Conceito Final Aprovado</x:v>
      </x:c>
      <x:c r="D97" s="118" t="str">
        <x:f>Mapa_Selecao!C79</x:f>
        <x:v>Relatório final de conceito</x:v>
      </x:c>
      <x:c r="E97" s="118" t="n">
        <x:f>Mapa_Selecao!G79</x:f>
        <x:v>0</x:v>
      </x:c>
      <x:c r="F97" s="127" t="str">
        <x:f>IF($E97&lt;&gt;1,"",VLOOKUP($C97,$A$14:$F$18,4,FALSE)+ROUND((VLOOKUP($C97,$A$14:$F$18,5,FALSE)-VLOOKUP($C97,$A$14:$F$18,4,FALSE)+1)*($M97-1)/MAX(1,$L97),0))</x:f>
      </x:c>
      <x:c r="G97" s="127" t="str">
        <x:f>IF($E97&lt;&gt;1,"",MIN(VLOOKUP($C97,$A$14:$F$18,5,FALSE),VLOOKUP($C97,$A$14:$F$18,4,FALSE)+ROUND((VLOOKUP($C97,$A$14:$F$18,5,FALSE)-VLOOKUP($C97,$A$14:$F$18,4,FALSE)+1)*$M97/MAX(1,$L97),0)-1))</x:f>
      </x:c>
      <x:c r="H97" s="118" t="str">
        <x:f>IF($E97&lt;&gt;1,"",MAX(1,$G97-$F97+1))</x:f>
      </x:c>
      <x:c r="I97" s="118" t="str"/>
      <x:c r="J97" s="118" t="str">
        <x:v>Não iniciado</x:v>
      </x:c>
      <x:c r="K97" s="118" t="str"/>
      <x:c r="L97" s="118" t="n">
        <x:f>COUNTIFS($C$22:$C$100,$C97,$E$22:$E$100,1)</x:f>
        <x:v>0</x:v>
      </x:c>
      <x:c r="M97" s="118" t="str">
        <x:f>IF($E97=1,COUNTIFS($C$22:C97,$C97,$E$22:E97,1),"")</x:f>
      </x:c>
      <x:c r="N97" s="131" t="str">
        <x:f>IF($E97&lt;&gt;1,"",IF(AND($F97&lt;=N$21,$G97&gt;=N$20),"■",""))</x:f>
      </x:c>
      <x:c r="O97" s="131" t="str">
        <x:f>IF($E97&lt;&gt;1,"",IF(AND($F97&lt;=O$21,$G97&gt;=O$20),"■",""))</x:f>
      </x:c>
      <x:c r="P97" s="131" t="str">
        <x:f>IF($E97&lt;&gt;1,"",IF(AND($F97&lt;=P$21,$G97&gt;=P$20),"■",""))</x:f>
      </x:c>
      <x:c r="Q97" s="131" t="str">
        <x:f>IF($E97&lt;&gt;1,"",IF(AND($F97&lt;=Q$21,$G97&gt;=Q$20),"■",""))</x:f>
      </x:c>
      <x:c r="R97" s="131" t="str">
        <x:f>IF($E97&lt;&gt;1,"",IF(AND($F97&lt;=R$21,$G97&gt;=R$20),"■",""))</x:f>
      </x:c>
      <x:c r="S97" s="131" t="str">
        <x:f>IF($E97&lt;&gt;1,"",IF(AND($F97&lt;=S$21,$G97&gt;=S$20),"■",""))</x:f>
      </x:c>
      <x:c r="T97" s="131" t="str">
        <x:f>IF($E97&lt;&gt;1,"",IF(AND($F97&lt;=T$21,$G97&gt;=T$20),"■",""))</x:f>
      </x:c>
      <x:c r="U97" s="131" t="str">
        <x:f>IF($E97&lt;&gt;1,"",IF(AND($F97&lt;=U$21,$G97&gt;=U$20),"■",""))</x:f>
      </x:c>
      <x:c r="V97" s="131" t="str">
        <x:f>IF($E97&lt;&gt;1,"",IF(AND($F97&lt;=V$21,$G97&gt;=V$20),"■",""))</x:f>
      </x:c>
      <x:c r="W97" s="131" t="str">
        <x:f>IF($E97&lt;&gt;1,"",IF(AND($F97&lt;=W$21,$G97&gt;=W$20),"■",""))</x:f>
      </x:c>
      <x:c r="X97" s="131" t="str">
        <x:f>IF($E97&lt;&gt;1,"",IF(AND($F97&lt;=X$21,$G97&gt;=X$20),"■",""))</x:f>
      </x:c>
      <x:c r="Y97" s="131" t="str">
        <x:f>IF($E97&lt;&gt;1,"",IF(AND($F97&lt;=Y$21,$G97&gt;=Y$20),"■",""))</x:f>
      </x:c>
    </x:row>
    <x:row r="98">
      <x:c r="A98" s="118" t="n">
        <x:f>ROW()-21</x:f>
        <x:v>77</x:v>
      </x:c>
      <x:c r="B98" s="118" t="str">
        <x:f>Mapa_Selecao!A80</x:f>
        <x:v>G5_TERMO</x:v>
      </x:c>
      <x:c r="C98" s="118" t="str">
        <x:f>Mapa_Selecao!B80</x:f>
        <x:v>Gate 5 — Conceito Final Aprovado</x:v>
      </x:c>
      <x:c r="D98" s="118" t="str">
        <x:f>Mapa_Selecao!C80</x:f>
        <x:v>Termo de conceito aprovado</x:v>
      </x:c>
      <x:c r="E98" s="118" t="n">
        <x:f>Mapa_Selecao!G80</x:f>
        <x:v>0</x:v>
      </x:c>
      <x:c r="F98" s="127" t="str">
        <x:f>IF($E98&lt;&gt;1,"",VLOOKUP($C98,$A$14:$F$18,4,FALSE)+ROUND((VLOOKUP($C98,$A$14:$F$18,5,FALSE)-VLOOKUP($C98,$A$14:$F$18,4,FALSE)+1)*($M98-1)/MAX(1,$L98),0))</x:f>
      </x:c>
      <x:c r="G98" s="127" t="str">
        <x:f>IF($E98&lt;&gt;1,"",MIN(VLOOKUP($C98,$A$14:$F$18,5,FALSE),VLOOKUP($C98,$A$14:$F$18,4,FALSE)+ROUND((VLOOKUP($C98,$A$14:$F$18,5,FALSE)-VLOOKUP($C98,$A$14:$F$18,4,FALSE)+1)*$M98/MAX(1,$L98),0)-1))</x:f>
      </x:c>
      <x:c r="H98" s="118" t="str">
        <x:f>IF($E98&lt;&gt;1,"",MAX(1,$G98-$F98+1))</x:f>
      </x:c>
      <x:c r="I98" s="118" t="str"/>
      <x:c r="J98" s="118" t="str">
        <x:v>Não iniciado</x:v>
      </x:c>
      <x:c r="K98" s="118" t="str"/>
      <x:c r="L98" s="118" t="n">
        <x:f>COUNTIFS($C$22:$C$100,$C98,$E$22:$E$100,1)</x:f>
        <x:v>0</x:v>
      </x:c>
      <x:c r="M98" s="118" t="str">
        <x:f>IF($E98=1,COUNTIFS($C$22:C98,$C98,$E$22:E98,1),"")</x:f>
      </x:c>
      <x:c r="N98" s="131" t="str">
        <x:f>IF($E98&lt;&gt;1,"",IF(AND($F98&lt;=N$21,$G98&gt;=N$20),"■",""))</x:f>
      </x:c>
      <x:c r="O98" s="131" t="str">
        <x:f>IF($E98&lt;&gt;1,"",IF(AND($F98&lt;=O$21,$G98&gt;=O$20),"■",""))</x:f>
      </x:c>
      <x:c r="P98" s="131" t="str">
        <x:f>IF($E98&lt;&gt;1,"",IF(AND($F98&lt;=P$21,$G98&gt;=P$20),"■",""))</x:f>
      </x:c>
      <x:c r="Q98" s="131" t="str">
        <x:f>IF($E98&lt;&gt;1,"",IF(AND($F98&lt;=Q$21,$G98&gt;=Q$20),"■",""))</x:f>
      </x:c>
      <x:c r="R98" s="131" t="str">
        <x:f>IF($E98&lt;&gt;1,"",IF(AND($F98&lt;=R$21,$G98&gt;=R$20),"■",""))</x:f>
      </x:c>
      <x:c r="S98" s="131" t="str">
        <x:f>IF($E98&lt;&gt;1,"",IF(AND($F98&lt;=S$21,$G98&gt;=S$20),"■",""))</x:f>
      </x:c>
      <x:c r="T98" s="131" t="str">
        <x:f>IF($E98&lt;&gt;1,"",IF(AND($F98&lt;=T$21,$G98&gt;=T$20),"■",""))</x:f>
      </x:c>
      <x:c r="U98" s="131" t="str">
        <x:f>IF($E98&lt;&gt;1,"",IF(AND($F98&lt;=U$21,$G98&gt;=U$20),"■",""))</x:f>
      </x:c>
      <x:c r="V98" s="131" t="str">
        <x:f>IF($E98&lt;&gt;1,"",IF(AND($F98&lt;=V$21,$G98&gt;=V$20),"■",""))</x:f>
      </x:c>
      <x:c r="W98" s="131" t="str">
        <x:f>IF($E98&lt;&gt;1,"",IF(AND($F98&lt;=W$21,$G98&gt;=W$20),"■",""))</x:f>
      </x:c>
      <x:c r="X98" s="131" t="str">
        <x:f>IF($E98&lt;&gt;1,"",IF(AND($F98&lt;=X$21,$G98&gt;=X$20),"■",""))</x:f>
      </x:c>
      <x:c r="Y98" s="131" t="str">
        <x:f>IF($E98&lt;&gt;1,"",IF(AND($F98&lt;=Y$21,$G98&gt;=Y$20),"■",""))</x:f>
      </x:c>
    </x:row>
    <x:row r="99">
      <x:c r="A99" s="118" t="n">
        <x:f>ROW()-21</x:f>
        <x:v>78</x:v>
      </x:c>
      <x:c r="B99" s="118" t="str">
        <x:f>Mapa_Selecao!A81</x:f>
        <x:v>G5_TRANSFER</x:v>
      </x:c>
      <x:c r="C99" s="118" t="str">
        <x:f>Mapa_Selecao!B81</x:f>
        <x:v>Gate 5 — Conceito Final Aprovado</x:v>
      </x:c>
      <x:c r="D99" s="118" t="str">
        <x:f>Mapa_Selecao!C81</x:f>
        <x:v>Pacote de transferência conceitual</x:v>
      </x:c>
      <x:c r="E99" s="118" t="n">
        <x:f>Mapa_Selecao!G81</x:f>
        <x:v>0</x:v>
      </x:c>
      <x:c r="F99" s="127" t="str">
        <x:f>IF($E99&lt;&gt;1,"",VLOOKUP($C99,$A$14:$F$18,4,FALSE)+ROUND((VLOOKUP($C99,$A$14:$F$18,5,FALSE)-VLOOKUP($C99,$A$14:$F$18,4,FALSE)+1)*($M99-1)/MAX(1,$L99),0))</x:f>
      </x:c>
      <x:c r="G99" s="127" t="str">
        <x:f>IF($E99&lt;&gt;1,"",MIN(VLOOKUP($C99,$A$14:$F$18,5,FALSE),VLOOKUP($C99,$A$14:$F$18,4,FALSE)+ROUND((VLOOKUP($C99,$A$14:$F$18,5,FALSE)-VLOOKUP($C99,$A$14:$F$18,4,FALSE)+1)*$M99/MAX(1,$L99),0)-1))</x:f>
      </x:c>
      <x:c r="H99" s="118" t="str">
        <x:f>IF($E99&lt;&gt;1,"",MAX(1,$G99-$F99+1))</x:f>
      </x:c>
      <x:c r="I99" s="118" t="str"/>
      <x:c r="J99" s="118" t="str">
        <x:v>Não iniciado</x:v>
      </x:c>
      <x:c r="K99" s="118" t="str"/>
      <x:c r="L99" s="118" t="n">
        <x:f>COUNTIFS($C$22:$C$100,$C99,$E$22:$E$100,1)</x:f>
        <x:v>0</x:v>
      </x:c>
      <x:c r="M99" s="118" t="str">
        <x:f>IF($E99=1,COUNTIFS($C$22:C99,$C99,$E$22:E99,1),"")</x:f>
      </x:c>
      <x:c r="N99" s="131" t="str">
        <x:f>IF($E99&lt;&gt;1,"",IF(AND($F99&lt;=N$21,$G99&gt;=N$20),"■",""))</x:f>
      </x:c>
      <x:c r="O99" s="131" t="str">
        <x:f>IF($E99&lt;&gt;1,"",IF(AND($F99&lt;=O$21,$G99&gt;=O$20),"■",""))</x:f>
      </x:c>
      <x:c r="P99" s="131" t="str">
        <x:f>IF($E99&lt;&gt;1,"",IF(AND($F99&lt;=P$21,$G99&gt;=P$20),"■",""))</x:f>
      </x:c>
      <x:c r="Q99" s="131" t="str">
        <x:f>IF($E99&lt;&gt;1,"",IF(AND($F99&lt;=Q$21,$G99&gt;=Q$20),"■",""))</x:f>
      </x:c>
      <x:c r="R99" s="131" t="str">
        <x:f>IF($E99&lt;&gt;1,"",IF(AND($F99&lt;=R$21,$G99&gt;=R$20),"■",""))</x:f>
      </x:c>
      <x:c r="S99" s="131" t="str">
        <x:f>IF($E99&lt;&gt;1,"",IF(AND($F99&lt;=S$21,$G99&gt;=S$20),"■",""))</x:f>
      </x:c>
      <x:c r="T99" s="131" t="str">
        <x:f>IF($E99&lt;&gt;1,"",IF(AND($F99&lt;=T$21,$G99&gt;=T$20),"■",""))</x:f>
      </x:c>
      <x:c r="U99" s="131" t="str">
        <x:f>IF($E99&lt;&gt;1,"",IF(AND($F99&lt;=U$21,$G99&gt;=U$20),"■",""))</x:f>
      </x:c>
      <x:c r="V99" s="131" t="str">
        <x:f>IF($E99&lt;&gt;1,"",IF(AND($F99&lt;=V$21,$G99&gt;=V$20),"■",""))</x:f>
      </x:c>
      <x:c r="W99" s="131" t="str">
        <x:f>IF($E99&lt;&gt;1,"",IF(AND($F99&lt;=W$21,$G99&gt;=W$20),"■",""))</x:f>
      </x:c>
      <x:c r="X99" s="131" t="str">
        <x:f>IF($E99&lt;&gt;1,"",IF(AND($F99&lt;=X$21,$G99&gt;=X$20),"■",""))</x:f>
      </x:c>
      <x:c r="Y99" s="131" t="str">
        <x:f>IF($E99&lt;&gt;1,"",IF(AND($F99&lt;=Y$21,$G99&gt;=Y$20),"■",""))</x:f>
      </x:c>
    </x:row>
    <x:row r="100">
      <x:c r="A100" s="118" t="n">
        <x:f>ROW()-21</x:f>
        <x:v>79</x:v>
      </x:c>
      <x:c r="B100" s="118" t="str">
        <x:f>Mapa_Selecao!A82</x:f>
        <x:v>G5_GONOGO</x:v>
      </x:c>
      <x:c r="C100" s="118" t="str">
        <x:f>Mapa_Selecao!B82</x:f>
        <x:v>Gate 5 — Conceito Final Aprovado</x:v>
      </x:c>
      <x:c r="D100" s="118" t="str">
        <x:f>Mapa_Selecao!C82</x:f>
        <x:v>Matriz Go/No-Go — Gate 5</x:v>
      </x:c>
      <x:c r="E100" s="118" t="n">
        <x:f>Mapa_Selecao!G82</x:f>
        <x:v>0</x:v>
      </x:c>
      <x:c r="F100" s="127" t="str">
        <x:f>IF($E100&lt;&gt;1,"",VLOOKUP($C100,$A$14:$F$18,4,FALSE)+ROUND((VLOOKUP($C100,$A$14:$F$18,5,FALSE)-VLOOKUP($C100,$A$14:$F$18,4,FALSE)+1)*($M100-1)/MAX(1,$L100),0))</x:f>
      </x:c>
      <x:c r="G100" s="127" t="str">
        <x:f>IF($E100&lt;&gt;1,"",MIN(VLOOKUP($C100,$A$14:$F$18,5,FALSE),VLOOKUP($C100,$A$14:$F$18,4,FALSE)+ROUND((VLOOKUP($C100,$A$14:$F$18,5,FALSE)-VLOOKUP($C100,$A$14:$F$18,4,FALSE)+1)*$M100/MAX(1,$L100),0)-1))</x:f>
      </x:c>
      <x:c r="H100" s="118" t="str">
        <x:f>IF($E100&lt;&gt;1,"",MAX(1,$G100-$F100+1))</x:f>
      </x:c>
      <x:c r="I100" s="118" t="str"/>
      <x:c r="J100" s="118" t="str">
        <x:v>Não iniciado</x:v>
      </x:c>
      <x:c r="K100" s="118" t="str"/>
      <x:c r="L100" s="118" t="n">
        <x:f>COUNTIFS($C$22:$C$100,$C100,$E$22:$E$100,1)</x:f>
        <x:v>0</x:v>
      </x:c>
      <x:c r="M100" s="118" t="str">
        <x:f>IF($E100=1,COUNTIFS($C$22:C100,$C100,$E$22:E100,1),"")</x:f>
      </x:c>
      <x:c r="N100" s="131" t="str">
        <x:f>IF($E100&lt;&gt;1,"",IF(AND($F100&lt;=N$21,$G100&gt;=N$20),"■",""))</x:f>
      </x:c>
      <x:c r="O100" s="131" t="str">
        <x:f>IF($E100&lt;&gt;1,"",IF(AND($F100&lt;=O$21,$G100&gt;=O$20),"■",""))</x:f>
      </x:c>
      <x:c r="P100" s="131" t="str">
        <x:f>IF($E100&lt;&gt;1,"",IF(AND($F100&lt;=P$21,$G100&gt;=P$20),"■",""))</x:f>
      </x:c>
      <x:c r="Q100" s="131" t="str">
        <x:f>IF($E100&lt;&gt;1,"",IF(AND($F100&lt;=Q$21,$G100&gt;=Q$20),"■",""))</x:f>
      </x:c>
      <x:c r="R100" s="131" t="str">
        <x:f>IF($E100&lt;&gt;1,"",IF(AND($F100&lt;=R$21,$G100&gt;=R$20),"■",""))</x:f>
      </x:c>
      <x:c r="S100" s="131" t="str">
        <x:f>IF($E100&lt;&gt;1,"",IF(AND($F100&lt;=S$21,$G100&gt;=S$20),"■",""))</x:f>
      </x:c>
      <x:c r="T100" s="131" t="str">
        <x:f>IF($E100&lt;&gt;1,"",IF(AND($F100&lt;=T$21,$G100&gt;=T$20),"■",""))</x:f>
      </x:c>
      <x:c r="U100" s="131" t="str">
        <x:f>IF($E100&lt;&gt;1,"",IF(AND($F100&lt;=U$21,$G100&gt;=U$20),"■",""))</x:f>
      </x:c>
      <x:c r="V100" s="131" t="str">
        <x:f>IF($E100&lt;&gt;1,"",IF(AND($F100&lt;=V$21,$G100&gt;=V$20),"■",""))</x:f>
      </x:c>
      <x:c r="W100" s="131" t="str">
        <x:f>IF($E100&lt;&gt;1,"",IF(AND($F100&lt;=W$21,$G100&gt;=W$20),"■",""))</x:f>
      </x:c>
      <x:c r="X100" s="131" t="str">
        <x:f>IF($E100&lt;&gt;1,"",IF(AND($F100&lt;=X$21,$G100&gt;=X$20),"■",""))</x:f>
      </x:c>
      <x:c r="Y100" s="131" t="str">
        <x:f>IF($E100&lt;&gt;1,"",IF(AND($F100&lt;=Y$21,$G100&gt;=Y$20),"■",""))</x:f>
      </x:c>
    </x:row>
  </x:sheetData>
  <x:mergeCells>
    <x:mergeCell ref="A1:Y1"/>
    <x:mergeCell ref="A2:Y2"/>
    <x:mergeCell ref="A12:F12"/>
    <x:mergeCell ref="A20:M20"/>
    <x:mergeCell ref="N19:Y19"/>
  </x:mergeCells>
  <x:conditionalFormatting sqref="E22:E100">
    <x:cfRule type="cellIs" dxfId="0" priority="1">
      <x:formula>1</x:formula>
    </x:cfRule>
  </x:conditionalFormatting>
  <x:conditionalFormatting sqref="J22:J100">
    <x:cfRule type="expression" dxfId="1" priority="2">
      <x:formula>J22="Concluído"</x:formula>
    </x:cfRule>
    <x:cfRule type="expression" dxfId="2" priority="3">
      <x:formula>J22="Em andamento"</x:formula>
    </x:cfRule>
    <x:cfRule type="expression" dxfId="3" priority="4">
      <x:formula>J22="Atrasado"</x:formula>
    </x:cfRule>
    <x:cfRule type="expression" dxfId="4" priority="5">
      <x:formula>J22="Pausado"</x:formula>
    </x:cfRule>
  </x:conditionalFormatting>
  <x:conditionalFormatting sqref="N22:Y100">
    <x:cfRule type="expression" dxfId="5" priority="6">
      <x:formula>N22="■"</x:formula>
    </x:cfRule>
  </x:conditionalFormatting>
  <x:dataValidations count="1">
    <x:dataValidation type="list" sqref="J22:J100">
      <x:formula1>"Não iniciado,Em andamento,Concluído,Atrasado,Pausado"</x:formula1>
    </x:dataValidation>
  </x:dataValidations>
  <x:pageMargins left="0.7" right="0.7" top="0.75" bottom="0.75" header="0.3" footer="0.3"/>
  <x:drawing xmlns:r="http://schemas.openxmlformats.org/officeDocument/2006/relationships" r:id="Raa9610ffa43547cd"/>
  <x:tableParts count="2">
    <x:tablePart xmlns:r="http://schemas.openxmlformats.org/officeDocument/2006/relationships" r:id="R75b43ecfdd6747ba"/>
    <x:tablePart xmlns:r="http://schemas.openxmlformats.org/officeDocument/2006/relationships" r:id="R8b8e212b712e4d89"/>
  </x:tableParts>
</x:worksheet>
</file>